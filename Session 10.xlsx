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esktop\TOP TECHS\data anaylitics\Excel\Assignment\"/>
    </mc:Choice>
  </mc:AlternateContent>
  <xr:revisionPtr revIDLastSave="0" documentId="13_ncr:1_{22C2DDE2-4D82-4786-A90A-E4E0F14DE8A0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2" l="1"/>
  <c r="H5" i="2"/>
  <c r="H4" i="2"/>
  <c r="I4" i="5"/>
  <c r="I5" i="5"/>
  <c r="I3" i="5"/>
  <c r="M6" i="4"/>
  <c r="M7" i="4"/>
  <c r="M8" i="4"/>
  <c r="M9" i="4"/>
  <c r="M5" i="4"/>
  <c r="H6" i="4"/>
  <c r="H7" i="4"/>
  <c r="H8" i="4"/>
  <c r="H9" i="4"/>
  <c r="H5" i="4"/>
  <c r="H5" i="3"/>
  <c r="H6" i="3"/>
  <c r="H7" i="3"/>
  <c r="H4" i="3"/>
  <c r="H4" i="1"/>
  <c r="H5" i="1"/>
  <c r="H6" i="1"/>
  <c r="H7" i="1"/>
  <c r="H8" i="1"/>
  <c r="H9" i="1"/>
  <c r="H10" i="1"/>
  <c r="H11" i="1"/>
  <c r="H12" i="1"/>
  <c r="H3" i="1"/>
</calcChain>
</file>

<file path=xl/sharedStrings.xml><?xml version="1.0" encoding="utf-8"?>
<sst xmlns="http://schemas.openxmlformats.org/spreadsheetml/2006/main" count="215" uniqueCount="155">
  <si>
    <t>Product ID</t>
  </si>
  <si>
    <t>Name</t>
  </si>
  <si>
    <t>Category</t>
  </si>
  <si>
    <t>Price (₹)</t>
  </si>
  <si>
    <t>FLP001</t>
  </si>
  <si>
    <t>Samsung Galaxy M14</t>
  </si>
  <si>
    <t>Smartphones</t>
  </si>
  <si>
    <t>FLP002</t>
  </si>
  <si>
    <t>HP 15s Laptop</t>
  </si>
  <si>
    <t>Electronics</t>
  </si>
  <si>
    <t>FLP003</t>
  </si>
  <si>
    <t>Nike Running Shoes</t>
  </si>
  <si>
    <t>Footwear</t>
  </si>
  <si>
    <t>FLP004</t>
  </si>
  <si>
    <t>Prestige Mixer Grinder</t>
  </si>
  <si>
    <t>Home Appliances</t>
  </si>
  <si>
    <t>FLP005</t>
  </si>
  <si>
    <t>Levi’s Slim Fit Jeans</t>
  </si>
  <si>
    <t>Fashion</t>
  </si>
  <si>
    <t>FLP006</t>
  </si>
  <si>
    <t>Realme Buds Wireless 2 Neo</t>
  </si>
  <si>
    <t>Audio</t>
  </si>
  <si>
    <t>FLP007</t>
  </si>
  <si>
    <t>Apple iPad (9th Gen)</t>
  </si>
  <si>
    <t>Tablets</t>
  </si>
  <si>
    <t>FLP008</t>
  </si>
  <si>
    <t>Philips LED Smart Bulb</t>
  </si>
  <si>
    <t>Home Essentials</t>
  </si>
  <si>
    <t>FLP009</t>
  </si>
  <si>
    <t>Puma Backpack</t>
  </si>
  <si>
    <t>Accessories</t>
  </si>
  <si>
    <t>FLP010</t>
  </si>
  <si>
    <t>Bajaj Electric Kettle</t>
  </si>
  <si>
    <t>Kitchen</t>
  </si>
  <si>
    <t xml:space="preserve">USING XLOOKUP TO FIND NAME </t>
  </si>
  <si>
    <t>Order ID</t>
  </si>
  <si>
    <t>Restaurant Name</t>
  </si>
  <si>
    <t>Order Date</t>
  </si>
  <si>
    <t>Amount (₹)</t>
  </si>
  <si>
    <t>ZMT001</t>
  </si>
  <si>
    <t>Biryani House</t>
  </si>
  <si>
    <t>ZMT002</t>
  </si>
  <si>
    <t>Domino’s Pizza</t>
  </si>
  <si>
    <t>ZMT003</t>
  </si>
  <si>
    <t>McDonald’s</t>
  </si>
  <si>
    <t>ZMT004</t>
  </si>
  <si>
    <t>ZMT005</t>
  </si>
  <si>
    <t>Subway</t>
  </si>
  <si>
    <t>ZMT006</t>
  </si>
  <si>
    <t>ZMT007</t>
  </si>
  <si>
    <t>KFC</t>
  </si>
  <si>
    <t>ZMT008</t>
  </si>
  <si>
    <t>Pizza Hut</t>
  </si>
  <si>
    <t>ZMT009</t>
  </si>
  <si>
    <t>ZMT010</t>
  </si>
  <si>
    <t>FINDING LAST ORDER AMOUNT OF ANY RESTAURANT USING XLOOKUP</t>
  </si>
  <si>
    <t>Playlist Name</t>
  </si>
  <si>
    <t>Genre</t>
  </si>
  <si>
    <t>Created By</t>
  </si>
  <si>
    <t>Number of Songs</t>
  </si>
  <si>
    <t>Chill Vibes</t>
  </si>
  <si>
    <t>Lo-fi / Chill</t>
  </si>
  <si>
    <t>Alex</t>
  </si>
  <si>
    <t>Workout Pump</t>
  </si>
  <si>
    <t>Hip-Hop</t>
  </si>
  <si>
    <t>Priya</t>
  </si>
  <si>
    <t>Indie Discoveries</t>
  </si>
  <si>
    <t>Indie Rock</t>
  </si>
  <si>
    <t>Sam</t>
  </si>
  <si>
    <t>Classical Focus</t>
  </si>
  <si>
    <t>Classical</t>
  </si>
  <si>
    <t>Rohan</t>
  </si>
  <si>
    <t>Party Hits</t>
  </si>
  <si>
    <t>Pop / Dance</t>
  </si>
  <si>
    <t>Neha</t>
  </si>
  <si>
    <t>Jazz Evenings</t>
  </si>
  <si>
    <t>Jazz</t>
  </si>
  <si>
    <t>Arjun</t>
  </si>
  <si>
    <t>Road Trip Mix</t>
  </si>
  <si>
    <t>Mixed</t>
  </si>
  <si>
    <t>Kavya</t>
  </si>
  <si>
    <t>Acoustic Mornings</t>
  </si>
  <si>
    <t>Acoustic</t>
  </si>
  <si>
    <t>Meera</t>
  </si>
  <si>
    <t>EDM Energy</t>
  </si>
  <si>
    <t>EDM</t>
  </si>
  <si>
    <t>Rahul</t>
  </si>
  <si>
    <t>Soulful Sundays</t>
  </si>
  <si>
    <t>Soul / R&amp;B</t>
  </si>
  <si>
    <t>Ananya</t>
  </si>
  <si>
    <t>Indian Folk</t>
  </si>
  <si>
    <t>Booking ID</t>
  </si>
  <si>
    <t>Passenger Name</t>
  </si>
  <si>
    <t>Train Number</t>
  </si>
  <si>
    <t>Status</t>
  </si>
  <si>
    <t>IR001</t>
  </si>
  <si>
    <t>Ramesh Patel</t>
  </si>
  <si>
    <t>Confirmed</t>
  </si>
  <si>
    <t>IR002</t>
  </si>
  <si>
    <t>Sneha Sharma</t>
  </si>
  <si>
    <t>Waitlisted</t>
  </si>
  <si>
    <t>IR003</t>
  </si>
  <si>
    <t>Arjun Mehta</t>
  </si>
  <si>
    <t>IR004</t>
  </si>
  <si>
    <t>Kavya Iyer</t>
  </si>
  <si>
    <t>Cancelled</t>
  </si>
  <si>
    <t>IR005</t>
  </si>
  <si>
    <t>Dev Singh</t>
  </si>
  <si>
    <t>IR006</t>
  </si>
  <si>
    <t>Priya Nair</t>
  </si>
  <si>
    <t>IR007</t>
  </si>
  <si>
    <t>Ananya Joshi</t>
  </si>
  <si>
    <t>IR008</t>
  </si>
  <si>
    <t>Vikram Rao</t>
  </si>
  <si>
    <t>IR009</t>
  </si>
  <si>
    <t>Meera Desai</t>
  </si>
  <si>
    <t>IR010</t>
  </si>
  <si>
    <t>Rahul Verma</t>
  </si>
  <si>
    <t>IR018</t>
  </si>
  <si>
    <t>FINDING STATUS BY BOOKING ID USING XLOOKUP &amp; IF NO STATUS FOUND THEN SHOWN AS DEFAULT BY XLOOKUP</t>
  </si>
  <si>
    <t>FINDING PLAYLIST NAME BY GENRE USING XLOOKUP &amp; IF NO NAME FOUND THEN NO PLAYLIST AVAILABLE WOULD BE SHOWN BY DEFAULT</t>
  </si>
  <si>
    <t>FINDING STATUS BY BOOKING ID USING XLOOKUP &amp; IF NO STATUS FOUND THEN "BOOKING NOT FOUND" WOULD BE SHOWN AS DEFAULT</t>
  </si>
  <si>
    <t>Delivery Date</t>
  </si>
  <si>
    <t>Product Category</t>
  </si>
  <si>
    <t>Payment Mode</t>
  </si>
  <si>
    <t>MYN001</t>
  </si>
  <si>
    <t>T-Shirt</t>
  </si>
  <si>
    <t>UPI</t>
  </si>
  <si>
    <t>MYN002</t>
  </si>
  <si>
    <t>Jeans</t>
  </si>
  <si>
    <t>Credit Card</t>
  </si>
  <si>
    <t>MYN003</t>
  </si>
  <si>
    <t>Sneakers</t>
  </si>
  <si>
    <t>COD</t>
  </si>
  <si>
    <t>MYN004</t>
  </si>
  <si>
    <t>Cap</t>
  </si>
  <si>
    <t>Debit Card</t>
  </si>
  <si>
    <t>MYN005</t>
  </si>
  <si>
    <t>Kurta</t>
  </si>
  <si>
    <t>Net Banking</t>
  </si>
  <si>
    <t>MYN006</t>
  </si>
  <si>
    <t>Dress</t>
  </si>
  <si>
    <t>MYN007</t>
  </si>
  <si>
    <t>Handbag</t>
  </si>
  <si>
    <t>MYN008</t>
  </si>
  <si>
    <t>Belt</t>
  </si>
  <si>
    <t>MYN009</t>
  </si>
  <si>
    <t>Jacket</t>
  </si>
  <si>
    <t>MYN010</t>
  </si>
  <si>
    <t>Shirt</t>
  </si>
  <si>
    <t>MYN011</t>
  </si>
  <si>
    <t>Saree</t>
  </si>
  <si>
    <t>MYN012</t>
  </si>
  <si>
    <t>Sportswear</t>
  </si>
  <si>
    <t xml:space="preserve">HERE, CHATGPT SHOW FORMULA "XLOOUP(H3, SELECT ORDER ID TABLE,SELECT DELIVERY DATE TABLE)" I USED THIS AND RESULT IS ACCURATE AND RIGHT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</si>
</sst>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3" fontId="0" fillId="0" borderId="1" xfId="0" applyNumberForma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 applyAlignment="1">
      <alignment vertical="center"/>
    </xf>
    <xf numFmtId="0" fontId="0" fillId="0" borderId="0" xfId="0" applyAlignment="1">
      <alignment vertical="top" wrapText="1"/>
    </xf>
    <xf numFmtId="0" fontId="0" fillId="0" borderId="3" xfId="0" applyBorder="1"/>
    <xf numFmtId="9" fontId="2" fillId="0" borderId="1" xfId="1" applyFont="1" applyBorder="1" applyAlignment="1">
      <alignment horizontal="center" vertical="center"/>
    </xf>
    <xf numFmtId="9" fontId="0" fillId="0" borderId="1" xfId="1" applyFont="1" applyBorder="1" applyAlignment="1">
      <alignment vertical="center"/>
    </xf>
    <xf numFmtId="0" fontId="0" fillId="2" borderId="1" xfId="0" applyFill="1" applyBorder="1"/>
    <xf numFmtId="14" fontId="0" fillId="0" borderId="1" xfId="0" applyNumberFormat="1" applyBorder="1"/>
    <xf numFmtId="0" fontId="0" fillId="0" borderId="1" xfId="0" applyBorder="1" applyAlignment="1">
      <alignment vertical="top" wrapText="1"/>
    </xf>
    <xf numFmtId="0" fontId="2" fillId="0" borderId="1" xfId="0" applyFont="1" applyBorder="1"/>
    <xf numFmtId="0" fontId="0" fillId="0" borderId="1" xfId="0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workbookViewId="0">
      <selection activeCell="G2" sqref="G2"/>
    </sheetView>
  </sheetViews>
  <sheetFormatPr defaultRowHeight="15" x14ac:dyDescent="0.25"/>
  <cols>
    <col min="1" max="1" width="10.140625" bestFit="1" customWidth="1"/>
    <col min="2" max="2" width="26.7109375" bestFit="1" customWidth="1"/>
    <col min="3" max="3" width="16.5703125" bestFit="1" customWidth="1"/>
    <col min="4" max="4" width="8.42578125" bestFit="1" customWidth="1"/>
    <col min="7" max="7" width="10.140625" bestFit="1" customWidth="1"/>
    <col min="8" max="8" width="26.7109375" bestFit="1" customWidth="1"/>
  </cols>
  <sheetData>
    <row r="1" spans="1:8" x14ac:dyDescent="0.25">
      <c r="G1" s="14" t="s">
        <v>34</v>
      </c>
      <c r="H1" s="14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G2" s="4" t="s">
        <v>0</v>
      </c>
      <c r="H2" s="1" t="s">
        <v>1</v>
      </c>
    </row>
    <row r="3" spans="1:8" x14ac:dyDescent="0.25">
      <c r="A3" s="1" t="s">
        <v>4</v>
      </c>
      <c r="B3" s="2" t="s">
        <v>5</v>
      </c>
      <c r="C3" s="2" t="s">
        <v>6</v>
      </c>
      <c r="D3" s="3">
        <v>13490</v>
      </c>
      <c r="G3" s="1" t="s">
        <v>4</v>
      </c>
      <c r="H3" s="5" t="str">
        <f>_xlfn.XLOOKUP(G3,$A$2:$A$12,$B$2:$B$12)</f>
        <v>Samsung Galaxy M14</v>
      </c>
    </row>
    <row r="4" spans="1:8" x14ac:dyDescent="0.25">
      <c r="A4" s="1" t="s">
        <v>7</v>
      </c>
      <c r="B4" s="2" t="s">
        <v>8</v>
      </c>
      <c r="C4" s="2" t="s">
        <v>9</v>
      </c>
      <c r="D4" s="3">
        <v>42999</v>
      </c>
      <c r="G4" s="1" t="s">
        <v>7</v>
      </c>
      <c r="H4" s="5" t="str">
        <f t="shared" ref="H4:H12" si="0">_xlfn.XLOOKUP(G4,$A$2:$A$12,$B$2:$B$12)</f>
        <v>HP 15s Laptop</v>
      </c>
    </row>
    <row r="5" spans="1:8" x14ac:dyDescent="0.25">
      <c r="A5" s="1" t="s">
        <v>10</v>
      </c>
      <c r="B5" s="2" t="s">
        <v>11</v>
      </c>
      <c r="C5" s="2" t="s">
        <v>12</v>
      </c>
      <c r="D5" s="3">
        <v>3499</v>
      </c>
      <c r="G5" s="1" t="s">
        <v>10</v>
      </c>
      <c r="H5" s="5" t="str">
        <f t="shared" si="0"/>
        <v>Nike Running Shoes</v>
      </c>
    </row>
    <row r="6" spans="1:8" x14ac:dyDescent="0.25">
      <c r="A6" s="1" t="s">
        <v>13</v>
      </c>
      <c r="B6" s="2" t="s">
        <v>14</v>
      </c>
      <c r="C6" s="2" t="s">
        <v>15</v>
      </c>
      <c r="D6" s="3">
        <v>2799</v>
      </c>
      <c r="G6" s="1" t="s">
        <v>13</v>
      </c>
      <c r="H6" s="5" t="str">
        <f t="shared" si="0"/>
        <v>Prestige Mixer Grinder</v>
      </c>
    </row>
    <row r="7" spans="1:8" x14ac:dyDescent="0.25">
      <c r="A7" s="1" t="s">
        <v>16</v>
      </c>
      <c r="B7" s="2" t="s">
        <v>17</v>
      </c>
      <c r="C7" s="2" t="s">
        <v>18</v>
      </c>
      <c r="D7" s="3">
        <v>2199</v>
      </c>
      <c r="G7" s="1" t="s">
        <v>16</v>
      </c>
      <c r="H7" s="5" t="str">
        <f t="shared" si="0"/>
        <v>Levi’s Slim Fit Jeans</v>
      </c>
    </row>
    <row r="8" spans="1:8" x14ac:dyDescent="0.25">
      <c r="A8" s="1" t="s">
        <v>19</v>
      </c>
      <c r="B8" s="2" t="s">
        <v>20</v>
      </c>
      <c r="C8" s="2" t="s">
        <v>21</v>
      </c>
      <c r="D8" s="3">
        <v>1299</v>
      </c>
      <c r="G8" s="1" t="s">
        <v>19</v>
      </c>
      <c r="H8" s="5" t="str">
        <f t="shared" si="0"/>
        <v>Realme Buds Wireless 2 Neo</v>
      </c>
    </row>
    <row r="9" spans="1:8" x14ac:dyDescent="0.25">
      <c r="A9" s="1" t="s">
        <v>22</v>
      </c>
      <c r="B9" s="2" t="s">
        <v>23</v>
      </c>
      <c r="C9" s="2" t="s">
        <v>24</v>
      </c>
      <c r="D9" s="3">
        <v>29900</v>
      </c>
      <c r="G9" s="1" t="s">
        <v>22</v>
      </c>
      <c r="H9" s="5" t="str">
        <f t="shared" si="0"/>
        <v>Apple iPad (9th Gen)</v>
      </c>
    </row>
    <row r="10" spans="1:8" x14ac:dyDescent="0.25">
      <c r="A10" s="1" t="s">
        <v>25</v>
      </c>
      <c r="B10" s="2" t="s">
        <v>26</v>
      </c>
      <c r="C10" s="2" t="s">
        <v>27</v>
      </c>
      <c r="D10" s="2">
        <v>699</v>
      </c>
      <c r="G10" s="1" t="s">
        <v>25</v>
      </c>
      <c r="H10" s="5" t="str">
        <f t="shared" si="0"/>
        <v>Philips LED Smart Bulb</v>
      </c>
    </row>
    <row r="11" spans="1:8" x14ac:dyDescent="0.25">
      <c r="A11" s="1" t="s">
        <v>28</v>
      </c>
      <c r="B11" s="2" t="s">
        <v>29</v>
      </c>
      <c r="C11" s="2" t="s">
        <v>30</v>
      </c>
      <c r="D11" s="3">
        <v>1499</v>
      </c>
      <c r="G11" s="1" t="s">
        <v>28</v>
      </c>
      <c r="H11" s="5" t="str">
        <f t="shared" si="0"/>
        <v>Puma Backpack</v>
      </c>
    </row>
    <row r="12" spans="1:8" x14ac:dyDescent="0.25">
      <c r="A12" s="1" t="s">
        <v>31</v>
      </c>
      <c r="B12" s="2" t="s">
        <v>32</v>
      </c>
      <c r="C12" s="2" t="s">
        <v>33</v>
      </c>
      <c r="D12" s="3">
        <v>1099</v>
      </c>
      <c r="G12" s="1" t="s">
        <v>31</v>
      </c>
      <c r="H12" s="5" t="str">
        <f t="shared" si="0"/>
        <v>Bajaj Electric Kettle</v>
      </c>
    </row>
  </sheetData>
  <mergeCells count="1">
    <mergeCell ref="G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0DEAF-3C6A-402C-B11A-C28D51C21560}">
  <dimension ref="A1:L11"/>
  <sheetViews>
    <sheetView tabSelected="1" workbookViewId="0">
      <selection activeCell="J12" sqref="J12"/>
    </sheetView>
  </sheetViews>
  <sheetFormatPr defaultRowHeight="15" x14ac:dyDescent="0.25"/>
  <cols>
    <col min="1" max="1" width="8.42578125" bestFit="1" customWidth="1"/>
    <col min="2" max="2" width="16.42578125" bestFit="1" customWidth="1"/>
    <col min="3" max="3" width="10.7109375" bestFit="1" customWidth="1"/>
    <col min="4" max="4" width="11.140625" bestFit="1" customWidth="1"/>
    <col min="7" max="7" width="16.42578125" bestFit="1" customWidth="1"/>
    <col min="8" max="8" width="11.140625" bestFit="1" customWidth="1"/>
  </cols>
  <sheetData>
    <row r="1" spans="1:12" x14ac:dyDescent="0.25">
      <c r="A1" s="1" t="s">
        <v>35</v>
      </c>
      <c r="B1" s="1" t="s">
        <v>36</v>
      </c>
      <c r="C1" s="1" t="s">
        <v>37</v>
      </c>
      <c r="D1" s="1" t="s">
        <v>38</v>
      </c>
    </row>
    <row r="2" spans="1:12" x14ac:dyDescent="0.25">
      <c r="A2" s="1" t="s">
        <v>39</v>
      </c>
      <c r="B2" s="2" t="s">
        <v>40</v>
      </c>
      <c r="C2" s="6">
        <v>46204</v>
      </c>
      <c r="D2" s="2">
        <v>450</v>
      </c>
      <c r="G2" s="15" t="s">
        <v>55</v>
      </c>
      <c r="H2" s="15"/>
      <c r="I2" s="15"/>
      <c r="J2" s="15"/>
      <c r="K2" s="15"/>
      <c r="L2" s="15"/>
    </row>
    <row r="3" spans="1:12" x14ac:dyDescent="0.25">
      <c r="A3" s="1" t="s">
        <v>41</v>
      </c>
      <c r="B3" s="2" t="s">
        <v>42</v>
      </c>
      <c r="C3" s="6">
        <v>46205</v>
      </c>
      <c r="D3" s="2">
        <v>799</v>
      </c>
      <c r="G3" s="4" t="s">
        <v>36</v>
      </c>
      <c r="H3" s="4" t="s">
        <v>38</v>
      </c>
    </row>
    <row r="4" spans="1:12" x14ac:dyDescent="0.25">
      <c r="A4" s="1" t="s">
        <v>43</v>
      </c>
      <c r="B4" s="2" t="s">
        <v>44</v>
      </c>
      <c r="C4" s="6">
        <v>46206</v>
      </c>
      <c r="D4" s="2">
        <v>320</v>
      </c>
      <c r="G4" s="5" t="s">
        <v>42</v>
      </c>
      <c r="H4" s="5">
        <f>_xlfn.XLOOKUP(G4,$B$1:$B$11,$D$1:$D$11,"-",0,-1)</f>
        <v>560</v>
      </c>
    </row>
    <row r="5" spans="1:12" x14ac:dyDescent="0.25">
      <c r="A5" s="1" t="s">
        <v>45</v>
      </c>
      <c r="B5" s="2" t="s">
        <v>42</v>
      </c>
      <c r="C5" s="6">
        <v>46207</v>
      </c>
      <c r="D5" s="3">
        <v>1250</v>
      </c>
      <c r="G5" s="5" t="s">
        <v>52</v>
      </c>
      <c r="H5" s="5">
        <f t="shared" ref="H5:H6" si="0">_xlfn.XLOOKUP(G5,$B$1:$B$11,$D$1:$D$11,"-",0,-1)</f>
        <v>530</v>
      </c>
    </row>
    <row r="6" spans="1:12" x14ac:dyDescent="0.25">
      <c r="A6" s="1" t="s">
        <v>46</v>
      </c>
      <c r="B6" s="2" t="s">
        <v>47</v>
      </c>
      <c r="C6" s="6">
        <v>46208</v>
      </c>
      <c r="D6" s="2">
        <v>280</v>
      </c>
      <c r="G6" s="5" t="s">
        <v>44</v>
      </c>
      <c r="H6" s="5">
        <f t="shared" si="0"/>
        <v>410</v>
      </c>
    </row>
    <row r="7" spans="1:12" x14ac:dyDescent="0.25">
      <c r="A7" s="1" t="s">
        <v>48</v>
      </c>
      <c r="B7" s="2" t="s">
        <v>42</v>
      </c>
      <c r="C7" s="6">
        <v>46209</v>
      </c>
      <c r="D7" s="2">
        <v>560</v>
      </c>
    </row>
    <row r="8" spans="1:12" x14ac:dyDescent="0.25">
      <c r="A8" s="1" t="s">
        <v>49</v>
      </c>
      <c r="B8" s="2" t="s">
        <v>50</v>
      </c>
      <c r="C8" s="6">
        <v>46210</v>
      </c>
      <c r="D8" s="2">
        <v>640</v>
      </c>
    </row>
    <row r="9" spans="1:12" x14ac:dyDescent="0.25">
      <c r="A9" s="1" t="s">
        <v>51</v>
      </c>
      <c r="B9" s="2" t="s">
        <v>52</v>
      </c>
      <c r="C9" s="6">
        <v>46211</v>
      </c>
      <c r="D9" s="2">
        <v>720</v>
      </c>
    </row>
    <row r="10" spans="1:12" x14ac:dyDescent="0.25">
      <c r="A10" s="1" t="s">
        <v>53</v>
      </c>
      <c r="B10" s="2" t="s">
        <v>44</v>
      </c>
      <c r="C10" s="6">
        <v>46212</v>
      </c>
      <c r="D10" s="2">
        <v>410</v>
      </c>
    </row>
    <row r="11" spans="1:12" x14ac:dyDescent="0.25">
      <c r="A11" s="1" t="s">
        <v>54</v>
      </c>
      <c r="B11" s="2" t="s">
        <v>52</v>
      </c>
      <c r="C11" s="6">
        <v>46213</v>
      </c>
      <c r="D11" s="2">
        <v>530</v>
      </c>
    </row>
  </sheetData>
  <mergeCells count="1">
    <mergeCell ref="G2:L2"/>
  </mergeCells>
  <dataValidations count="1">
    <dataValidation type="list" allowBlank="1" showInputMessage="1" showErrorMessage="1" sqref="G4:G6" xr:uid="{BCAD75A2-89BC-4965-BC3A-BED4D84DCF5A}">
      <formula1>$B$2:$B$11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E522D-105A-4F03-9CBE-4AF9F8A0DF1B}">
  <dimension ref="A2:K12"/>
  <sheetViews>
    <sheetView workbookViewId="0">
      <selection activeCell="G11" sqref="G11"/>
    </sheetView>
  </sheetViews>
  <sheetFormatPr defaultRowHeight="15" x14ac:dyDescent="0.25"/>
  <cols>
    <col min="1" max="1" width="17.5703125" bestFit="1" customWidth="1"/>
    <col min="2" max="2" width="11.5703125" bestFit="1" customWidth="1"/>
    <col min="3" max="3" width="10.5703125" bestFit="1" customWidth="1"/>
    <col min="4" max="4" width="16.28515625" bestFit="1" customWidth="1"/>
    <col min="7" max="7" width="10.7109375" bestFit="1" customWidth="1"/>
    <col min="8" max="8" width="19.140625" bestFit="1" customWidth="1"/>
  </cols>
  <sheetData>
    <row r="2" spans="1:11" x14ac:dyDescent="0.25">
      <c r="A2" s="1" t="s">
        <v>56</v>
      </c>
      <c r="B2" s="1" t="s">
        <v>57</v>
      </c>
      <c r="C2" s="1" t="s">
        <v>58</v>
      </c>
      <c r="D2" s="1" t="s">
        <v>59</v>
      </c>
    </row>
    <row r="3" spans="1:11" x14ac:dyDescent="0.25">
      <c r="A3" s="1" t="s">
        <v>60</v>
      </c>
      <c r="B3" s="2" t="s">
        <v>61</v>
      </c>
      <c r="C3" s="2" t="s">
        <v>62</v>
      </c>
      <c r="D3" s="2">
        <v>45</v>
      </c>
      <c r="G3" s="1" t="s">
        <v>57</v>
      </c>
      <c r="H3" s="1" t="s">
        <v>56</v>
      </c>
    </row>
    <row r="4" spans="1:11" x14ac:dyDescent="0.25">
      <c r="A4" s="1" t="s">
        <v>63</v>
      </c>
      <c r="B4" s="2" t="s">
        <v>64</v>
      </c>
      <c r="C4" s="2" t="s">
        <v>65</v>
      </c>
      <c r="D4" s="2">
        <v>60</v>
      </c>
      <c r="G4" s="5" t="s">
        <v>64</v>
      </c>
      <c r="H4" s="5" t="str">
        <f>_xlfn.XLOOKUP(G4,$B$2:$B$12,$A$2:$A$12,"No playlist available",0,1)</f>
        <v>Workout Pump</v>
      </c>
    </row>
    <row r="5" spans="1:11" x14ac:dyDescent="0.25">
      <c r="A5" s="1" t="s">
        <v>66</v>
      </c>
      <c r="B5" s="2" t="s">
        <v>67</v>
      </c>
      <c r="C5" s="2" t="s">
        <v>68</v>
      </c>
      <c r="D5" s="2">
        <v>35</v>
      </c>
      <c r="G5" s="5" t="s">
        <v>76</v>
      </c>
      <c r="H5" s="5" t="str">
        <f t="shared" ref="H5:H7" si="0">_xlfn.XLOOKUP(G5,$B$2:$B$12,$A$2:$A$12,"No playlist available",0,1)</f>
        <v>Jazz Evenings</v>
      </c>
    </row>
    <row r="6" spans="1:11" x14ac:dyDescent="0.25">
      <c r="A6" s="1" t="s">
        <v>69</v>
      </c>
      <c r="B6" s="2" t="s">
        <v>70</v>
      </c>
      <c r="C6" s="2" t="s">
        <v>71</v>
      </c>
      <c r="D6" s="2">
        <v>25</v>
      </c>
      <c r="G6" s="5" t="s">
        <v>90</v>
      </c>
      <c r="H6" s="5" t="str">
        <f t="shared" si="0"/>
        <v>No playlist available</v>
      </c>
    </row>
    <row r="7" spans="1:11" x14ac:dyDescent="0.25">
      <c r="A7" s="1" t="s">
        <v>72</v>
      </c>
      <c r="B7" s="2" t="s">
        <v>73</v>
      </c>
      <c r="C7" s="2" t="s">
        <v>74</v>
      </c>
      <c r="D7" s="2">
        <v>70</v>
      </c>
      <c r="G7" s="8" t="s">
        <v>79</v>
      </c>
      <c r="H7" s="8" t="str">
        <f t="shared" si="0"/>
        <v>Road Trip Mix</v>
      </c>
    </row>
    <row r="8" spans="1:11" ht="15" customHeight="1" x14ac:dyDescent="0.25">
      <c r="A8" s="1" t="s">
        <v>75</v>
      </c>
      <c r="B8" s="2" t="s">
        <v>76</v>
      </c>
      <c r="C8" s="2" t="s">
        <v>77</v>
      </c>
      <c r="D8" s="2">
        <v>40</v>
      </c>
      <c r="G8" s="13" t="s">
        <v>120</v>
      </c>
      <c r="H8" s="13"/>
      <c r="I8" s="13"/>
      <c r="J8" s="13"/>
      <c r="K8" s="7"/>
    </row>
    <row r="9" spans="1:11" x14ac:dyDescent="0.25">
      <c r="A9" s="1" t="s">
        <v>78</v>
      </c>
      <c r="B9" s="2" t="s">
        <v>79</v>
      </c>
      <c r="C9" s="2" t="s">
        <v>80</v>
      </c>
      <c r="D9" s="2">
        <v>55</v>
      </c>
      <c r="G9" s="13"/>
      <c r="H9" s="13"/>
      <c r="I9" s="13"/>
      <c r="J9" s="13"/>
      <c r="K9" s="7"/>
    </row>
    <row r="10" spans="1:11" x14ac:dyDescent="0.25">
      <c r="A10" s="1" t="s">
        <v>81</v>
      </c>
      <c r="B10" s="2" t="s">
        <v>82</v>
      </c>
      <c r="C10" s="2" t="s">
        <v>83</v>
      </c>
      <c r="D10" s="2">
        <v>30</v>
      </c>
      <c r="G10" s="13"/>
      <c r="H10" s="13"/>
      <c r="I10" s="13"/>
      <c r="J10" s="13"/>
    </row>
    <row r="11" spans="1:11" x14ac:dyDescent="0.25">
      <c r="A11" s="1" t="s">
        <v>84</v>
      </c>
      <c r="B11" s="2" t="s">
        <v>85</v>
      </c>
      <c r="C11" s="2" t="s">
        <v>86</v>
      </c>
      <c r="D11" s="2">
        <v>65</v>
      </c>
    </row>
    <row r="12" spans="1:11" x14ac:dyDescent="0.25">
      <c r="A12" s="1" t="s">
        <v>87</v>
      </c>
      <c r="B12" s="2" t="s">
        <v>88</v>
      </c>
      <c r="C12" s="2" t="s">
        <v>89</v>
      </c>
      <c r="D12" s="2">
        <v>20</v>
      </c>
    </row>
  </sheetData>
  <mergeCells count="1">
    <mergeCell ref="G8:J10"/>
  </mergeCells>
  <dataValidations count="1">
    <dataValidation type="list" allowBlank="1" showInputMessage="1" showErrorMessage="1" sqref="G4:G5 G7" xr:uid="{8176631E-AC87-49B0-A740-085407C3AEEF}">
      <formula1>$B$3:$B$12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37413-F02A-4DA1-8C74-2C9DBD102234}">
  <dimension ref="A2:O12"/>
  <sheetViews>
    <sheetView workbookViewId="0">
      <selection activeCell="J19" sqref="J19"/>
    </sheetView>
  </sheetViews>
  <sheetFormatPr defaultRowHeight="15" x14ac:dyDescent="0.25"/>
  <cols>
    <col min="1" max="1" width="10.42578125" bestFit="1" customWidth="1"/>
    <col min="2" max="2" width="15.85546875" bestFit="1" customWidth="1"/>
    <col min="3" max="3" width="13.28515625" bestFit="1" customWidth="1"/>
    <col min="4" max="4" width="10.42578125" bestFit="1" customWidth="1"/>
    <col min="7" max="8" width="10.42578125" bestFit="1" customWidth="1"/>
    <col min="12" max="12" width="10.42578125" bestFit="1" customWidth="1"/>
    <col min="13" max="13" width="18.140625" bestFit="1" customWidth="1"/>
  </cols>
  <sheetData>
    <row r="2" spans="1:15" x14ac:dyDescent="0.25">
      <c r="A2" s="9" t="s">
        <v>91</v>
      </c>
      <c r="B2" s="9" t="s">
        <v>92</v>
      </c>
      <c r="C2" s="9" t="s">
        <v>93</v>
      </c>
      <c r="D2" s="9" t="s">
        <v>94</v>
      </c>
    </row>
    <row r="3" spans="1:15" x14ac:dyDescent="0.25">
      <c r="A3" s="9" t="s">
        <v>95</v>
      </c>
      <c r="B3" s="10" t="s">
        <v>96</v>
      </c>
      <c r="C3" s="10">
        <v>12951</v>
      </c>
      <c r="D3" s="10" t="s">
        <v>97</v>
      </c>
    </row>
    <row r="4" spans="1:15" x14ac:dyDescent="0.25">
      <c r="A4" s="9" t="s">
        <v>98</v>
      </c>
      <c r="B4" s="10" t="s">
        <v>99</v>
      </c>
      <c r="C4" s="10">
        <v>12009</v>
      </c>
      <c r="D4" s="10" t="s">
        <v>100</v>
      </c>
      <c r="G4" s="9" t="s">
        <v>91</v>
      </c>
      <c r="H4" s="9" t="s">
        <v>94</v>
      </c>
      <c r="L4" s="9" t="s">
        <v>91</v>
      </c>
      <c r="M4" s="9" t="s">
        <v>94</v>
      </c>
    </row>
    <row r="5" spans="1:15" x14ac:dyDescent="0.25">
      <c r="A5" s="9" t="s">
        <v>101</v>
      </c>
      <c r="B5" s="10" t="s">
        <v>102</v>
      </c>
      <c r="C5" s="10">
        <v>19038</v>
      </c>
      <c r="D5" s="10" t="s">
        <v>97</v>
      </c>
      <c r="G5" s="5" t="s">
        <v>106</v>
      </c>
      <c r="H5" s="5" t="str">
        <f>_xlfn.XLOOKUP(G5,$A$2:$A$12,$D$2:$D$12)</f>
        <v>Confirmed</v>
      </c>
      <c r="L5" s="5" t="s">
        <v>106</v>
      </c>
      <c r="M5" s="5" t="str">
        <f>_xlfn.XLOOKUP(L5,$A$2:$A$12,$D$2:$D$12,"Booking Not Found",0,1)</f>
        <v>Confirmed</v>
      </c>
    </row>
    <row r="6" spans="1:15" x14ac:dyDescent="0.25">
      <c r="A6" s="9" t="s">
        <v>103</v>
      </c>
      <c r="B6" s="10" t="s">
        <v>104</v>
      </c>
      <c r="C6" s="10">
        <v>12627</v>
      </c>
      <c r="D6" s="10" t="s">
        <v>105</v>
      </c>
      <c r="G6" s="5" t="s">
        <v>110</v>
      </c>
      <c r="H6" s="5" t="str">
        <f t="shared" ref="H6:H9" si="0">_xlfn.XLOOKUP(G6,$A$2:$A$12,$D$2:$D$12)</f>
        <v>Confirmed</v>
      </c>
      <c r="L6" s="5" t="s">
        <v>110</v>
      </c>
      <c r="M6" s="5" t="str">
        <f t="shared" ref="M6:M9" si="1">_xlfn.XLOOKUP(L6,$A$2:$A$12,$D$2:$D$12,"Booking Not Found",0,1)</f>
        <v>Confirmed</v>
      </c>
    </row>
    <row r="7" spans="1:15" x14ac:dyDescent="0.25">
      <c r="A7" s="9" t="s">
        <v>106</v>
      </c>
      <c r="B7" s="10" t="s">
        <v>107</v>
      </c>
      <c r="C7" s="10">
        <v>12267</v>
      </c>
      <c r="D7" s="10" t="s">
        <v>97</v>
      </c>
      <c r="G7" s="11" t="s">
        <v>118</v>
      </c>
      <c r="H7" s="11" t="e">
        <f t="shared" si="0"/>
        <v>#N/A</v>
      </c>
      <c r="L7" s="11" t="s">
        <v>118</v>
      </c>
      <c r="M7" s="11" t="str">
        <f t="shared" si="1"/>
        <v>Booking Not Found</v>
      </c>
    </row>
    <row r="8" spans="1:15" x14ac:dyDescent="0.25">
      <c r="A8" s="9" t="s">
        <v>108</v>
      </c>
      <c r="B8" s="10" t="s">
        <v>109</v>
      </c>
      <c r="C8" s="10">
        <v>12479</v>
      </c>
      <c r="D8" s="10" t="s">
        <v>100</v>
      </c>
      <c r="G8" s="5" t="s">
        <v>112</v>
      </c>
      <c r="H8" s="5" t="str">
        <f t="shared" si="0"/>
        <v>Cancelled</v>
      </c>
      <c r="L8" s="5" t="s">
        <v>112</v>
      </c>
      <c r="M8" s="5" t="str">
        <f t="shared" si="1"/>
        <v>Cancelled</v>
      </c>
    </row>
    <row r="9" spans="1:15" x14ac:dyDescent="0.25">
      <c r="A9" s="9" t="s">
        <v>110</v>
      </c>
      <c r="B9" s="10" t="s">
        <v>111</v>
      </c>
      <c r="C9" s="10">
        <v>11077</v>
      </c>
      <c r="D9" s="10" t="s">
        <v>97</v>
      </c>
      <c r="G9" s="5" t="s">
        <v>106</v>
      </c>
      <c r="H9" s="5" t="str">
        <f t="shared" si="0"/>
        <v>Confirmed</v>
      </c>
      <c r="L9" s="5" t="s">
        <v>106</v>
      </c>
      <c r="M9" s="5" t="str">
        <f t="shared" si="1"/>
        <v>Confirmed</v>
      </c>
    </row>
    <row r="10" spans="1:15" ht="15" customHeight="1" x14ac:dyDescent="0.25">
      <c r="A10" s="9" t="s">
        <v>112</v>
      </c>
      <c r="B10" s="10" t="s">
        <v>113</v>
      </c>
      <c r="C10" s="10">
        <v>12833</v>
      </c>
      <c r="D10" s="10" t="s">
        <v>105</v>
      </c>
      <c r="G10" s="13" t="s">
        <v>119</v>
      </c>
      <c r="H10" s="13"/>
      <c r="I10" s="13"/>
      <c r="J10" s="13"/>
      <c r="L10" s="13" t="s">
        <v>121</v>
      </c>
      <c r="M10" s="13"/>
      <c r="N10" s="13"/>
      <c r="O10" s="13"/>
    </row>
    <row r="11" spans="1:15" x14ac:dyDescent="0.25">
      <c r="A11" s="9" t="s">
        <v>114</v>
      </c>
      <c r="B11" s="10" t="s">
        <v>115</v>
      </c>
      <c r="C11" s="10">
        <v>12345</v>
      </c>
      <c r="D11" s="10" t="s">
        <v>97</v>
      </c>
      <c r="G11" s="13"/>
      <c r="H11" s="13"/>
      <c r="I11" s="13"/>
      <c r="J11" s="13"/>
      <c r="L11" s="13"/>
      <c r="M11" s="13"/>
      <c r="N11" s="13"/>
      <c r="O11" s="13"/>
    </row>
    <row r="12" spans="1:15" x14ac:dyDescent="0.25">
      <c r="A12" s="9" t="s">
        <v>116</v>
      </c>
      <c r="B12" s="10" t="s">
        <v>117</v>
      </c>
      <c r="C12" s="10">
        <v>12533</v>
      </c>
      <c r="D12" s="10" t="s">
        <v>100</v>
      </c>
      <c r="G12" s="13"/>
      <c r="H12" s="13"/>
      <c r="I12" s="13"/>
      <c r="J12" s="13"/>
      <c r="L12" s="13"/>
      <c r="M12" s="13"/>
      <c r="N12" s="13"/>
      <c r="O12" s="13"/>
    </row>
  </sheetData>
  <mergeCells count="2">
    <mergeCell ref="G10:J12"/>
    <mergeCell ref="L10:O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F4187-8D2B-41E1-A7A5-75A39C1D432F}">
  <dimension ref="A2:M14"/>
  <sheetViews>
    <sheetView workbookViewId="0">
      <selection activeCell="K5" sqref="K5"/>
    </sheetView>
  </sheetViews>
  <sheetFormatPr defaultRowHeight="15" x14ac:dyDescent="0.25"/>
  <cols>
    <col min="1" max="1" width="8.42578125" bestFit="1" customWidth="1"/>
    <col min="2" max="2" width="13.140625" bestFit="1" customWidth="1"/>
    <col min="3" max="3" width="16.28515625" bestFit="1" customWidth="1"/>
    <col min="4" max="4" width="14.7109375" bestFit="1" customWidth="1"/>
    <col min="5" max="5" width="11.140625" bestFit="1" customWidth="1"/>
    <col min="8" max="8" width="8.42578125" bestFit="1" customWidth="1"/>
    <col min="9" max="9" width="13.140625" bestFit="1" customWidth="1"/>
  </cols>
  <sheetData>
    <row r="2" spans="1:13" x14ac:dyDescent="0.25">
      <c r="A2" s="1" t="s">
        <v>35</v>
      </c>
      <c r="B2" s="1" t="s">
        <v>122</v>
      </c>
      <c r="C2" s="1" t="s">
        <v>123</v>
      </c>
      <c r="D2" s="1" t="s">
        <v>124</v>
      </c>
      <c r="E2" s="1" t="s">
        <v>38</v>
      </c>
      <c r="H2" s="1" t="s">
        <v>35</v>
      </c>
      <c r="I2" s="1" t="s">
        <v>122</v>
      </c>
    </row>
    <row r="3" spans="1:13" x14ac:dyDescent="0.25">
      <c r="A3" s="1" t="s">
        <v>125</v>
      </c>
      <c r="B3" s="6">
        <v>46208</v>
      </c>
      <c r="C3" s="2" t="s">
        <v>126</v>
      </c>
      <c r="D3" s="2" t="s">
        <v>127</v>
      </c>
      <c r="E3" s="3">
        <v>1299</v>
      </c>
      <c r="H3" s="5" t="s">
        <v>137</v>
      </c>
      <c r="I3" s="12">
        <f>_xlfn.XLOOKUP(H3,$A$2:$A$14,$B$2:$B$14)</f>
        <v>46212</v>
      </c>
    </row>
    <row r="4" spans="1:13" x14ac:dyDescent="0.25">
      <c r="A4" s="1" t="s">
        <v>128</v>
      </c>
      <c r="B4" s="6">
        <v>46209</v>
      </c>
      <c r="C4" s="2" t="s">
        <v>129</v>
      </c>
      <c r="D4" s="2" t="s">
        <v>130</v>
      </c>
      <c r="E4" s="3">
        <v>2499</v>
      </c>
      <c r="H4" s="5" t="s">
        <v>152</v>
      </c>
      <c r="I4" s="12">
        <f t="shared" ref="I4:I5" si="0">_xlfn.XLOOKUP(H4,$A$2:$A$14,$B$2:$B$14)</f>
        <v>46219</v>
      </c>
    </row>
    <row r="5" spans="1:13" x14ac:dyDescent="0.25">
      <c r="A5" s="1" t="s">
        <v>131</v>
      </c>
      <c r="B5" s="6">
        <v>46210</v>
      </c>
      <c r="C5" s="2" t="s">
        <v>132</v>
      </c>
      <c r="D5" s="2" t="s">
        <v>133</v>
      </c>
      <c r="E5" s="3">
        <v>3199</v>
      </c>
      <c r="H5" s="5" t="s">
        <v>131</v>
      </c>
      <c r="I5" s="12">
        <f t="shared" si="0"/>
        <v>46210</v>
      </c>
    </row>
    <row r="6" spans="1:13" x14ac:dyDescent="0.25">
      <c r="A6" s="1" t="s">
        <v>134</v>
      </c>
      <c r="B6" s="6">
        <v>46211</v>
      </c>
      <c r="C6" s="2" t="s">
        <v>135</v>
      </c>
      <c r="D6" s="2" t="s">
        <v>136</v>
      </c>
      <c r="E6" s="2">
        <v>899</v>
      </c>
    </row>
    <row r="7" spans="1:13" x14ac:dyDescent="0.25">
      <c r="A7" s="1" t="s">
        <v>137</v>
      </c>
      <c r="B7" s="6">
        <v>46212</v>
      </c>
      <c r="C7" s="2" t="s">
        <v>138</v>
      </c>
      <c r="D7" s="2" t="s">
        <v>139</v>
      </c>
      <c r="E7" s="3">
        <v>1799</v>
      </c>
      <c r="H7" s="13" t="s">
        <v>154</v>
      </c>
      <c r="I7" s="13"/>
      <c r="J7" s="13"/>
      <c r="K7" s="13"/>
      <c r="L7" s="13"/>
      <c r="M7" s="13"/>
    </row>
    <row r="8" spans="1:13" x14ac:dyDescent="0.25">
      <c r="A8" s="1" t="s">
        <v>140</v>
      </c>
      <c r="B8" s="6">
        <v>46213</v>
      </c>
      <c r="C8" s="2" t="s">
        <v>141</v>
      </c>
      <c r="D8" s="2" t="s">
        <v>130</v>
      </c>
      <c r="E8" s="3">
        <v>4299</v>
      </c>
      <c r="H8" s="13"/>
      <c r="I8" s="13"/>
      <c r="J8" s="13"/>
      <c r="K8" s="13"/>
      <c r="L8" s="13"/>
      <c r="M8" s="13"/>
    </row>
    <row r="9" spans="1:13" x14ac:dyDescent="0.25">
      <c r="A9" s="1" t="s">
        <v>142</v>
      </c>
      <c r="B9" s="6">
        <v>46214</v>
      </c>
      <c r="C9" s="2" t="s">
        <v>143</v>
      </c>
      <c r="D9" s="2" t="s">
        <v>127</v>
      </c>
      <c r="E9" s="3">
        <v>2099</v>
      </c>
      <c r="H9" s="13"/>
      <c r="I9" s="13"/>
      <c r="J9" s="13"/>
      <c r="K9" s="13"/>
      <c r="L9" s="13"/>
      <c r="M9" s="13"/>
    </row>
    <row r="10" spans="1:13" x14ac:dyDescent="0.25">
      <c r="A10" s="1" t="s">
        <v>144</v>
      </c>
      <c r="B10" s="6">
        <v>46215</v>
      </c>
      <c r="C10" s="2" t="s">
        <v>145</v>
      </c>
      <c r="D10" s="2" t="s">
        <v>133</v>
      </c>
      <c r="E10" s="2">
        <v>749</v>
      </c>
    </row>
    <row r="11" spans="1:13" x14ac:dyDescent="0.25">
      <c r="A11" s="1" t="s">
        <v>146</v>
      </c>
      <c r="B11" s="6">
        <v>46216</v>
      </c>
      <c r="C11" s="2" t="s">
        <v>147</v>
      </c>
      <c r="D11" s="2" t="s">
        <v>136</v>
      </c>
      <c r="E11" s="3">
        <v>5499</v>
      </c>
    </row>
    <row r="12" spans="1:13" x14ac:dyDescent="0.25">
      <c r="A12" s="1" t="s">
        <v>148</v>
      </c>
      <c r="B12" s="6">
        <v>46217</v>
      </c>
      <c r="C12" s="2" t="s">
        <v>149</v>
      </c>
      <c r="D12" s="2" t="s">
        <v>130</v>
      </c>
      <c r="E12" s="3">
        <v>1599</v>
      </c>
    </row>
    <row r="13" spans="1:13" x14ac:dyDescent="0.25">
      <c r="A13" s="1" t="s">
        <v>150</v>
      </c>
      <c r="B13" s="6">
        <v>46218</v>
      </c>
      <c r="C13" s="2" t="s">
        <v>151</v>
      </c>
      <c r="D13" s="2" t="s">
        <v>127</v>
      </c>
      <c r="E13" s="3">
        <v>2899</v>
      </c>
    </row>
    <row r="14" spans="1:13" x14ac:dyDescent="0.25">
      <c r="A14" s="1" t="s">
        <v>152</v>
      </c>
      <c r="B14" s="6">
        <v>46219</v>
      </c>
      <c r="C14" s="2" t="s">
        <v>153</v>
      </c>
      <c r="D14" s="2" t="s">
        <v>139</v>
      </c>
      <c r="E14" s="3">
        <v>3499</v>
      </c>
    </row>
  </sheetData>
  <mergeCells count="1">
    <mergeCell ref="H7:M9"/>
  </mergeCells>
  <dataValidations count="1">
    <dataValidation type="list" allowBlank="1" showInputMessage="1" showErrorMessage="1" sqref="H3:H5" xr:uid="{592C6724-4E25-4D0C-9A53-6B6ACA4D722D}">
      <formula1>$A$3:$A$14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2026-07-15T14:04:32Z</dcterms:modified>
</cp:coreProperties>
</file>