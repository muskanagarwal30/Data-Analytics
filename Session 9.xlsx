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admin\Desktop\TOP TECHS\data anaylitics\Excel\Assignment\"/>
    </mc:Choice>
  </mc:AlternateContent>
  <xr:revisionPtr revIDLastSave="0" documentId="13_ncr:1_{24DD726F-8BC4-4638-9F9D-43456E38F96F}" xr6:coauthVersionLast="47" xr6:coauthVersionMax="47" xr10:uidLastSave="{00000000-0000-0000-0000-000000000000}"/>
  <bookViews>
    <workbookView xWindow="-120" yWindow="-120" windowWidth="20730" windowHeight="11160" activeTab="3" xr2:uid="{00000000-000D-0000-FFFF-FFFF00000000}"/>
  </bookViews>
  <sheets>
    <sheet name="1" sheetId="1" r:id="rId1"/>
    <sheet name="2" sheetId="2" r:id="rId2"/>
    <sheet name="3" sheetId="3" r:id="rId3"/>
    <sheet name="4" sheetId="4" r:id="rId4"/>
  </sheets>
  <definedNames>
    <definedName name="_xlnm._FilterDatabase" localSheetId="2" hidden="1">'3'!$A$1:$C$1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6" i="4" l="1"/>
  <c r="C7" i="2"/>
  <c r="C6" i="2"/>
  <c r="C16" i="4"/>
  <c r="F3" i="4"/>
  <c r="F4" i="4"/>
  <c r="F5" i="4"/>
  <c r="F6" i="4"/>
  <c r="F7" i="4"/>
  <c r="F8" i="4"/>
  <c r="F9" i="4"/>
  <c r="F10" i="4"/>
  <c r="F11" i="4"/>
  <c r="F2" i="4"/>
  <c r="G3" i="1"/>
  <c r="C21" i="3"/>
  <c r="C17" i="3"/>
  <c r="C20" i="3"/>
  <c r="C19" i="3"/>
  <c r="C18" i="3"/>
</calcChain>
</file>

<file path=xl/sharedStrings.xml><?xml version="1.0" encoding="utf-8"?>
<sst xmlns="http://schemas.openxmlformats.org/spreadsheetml/2006/main" count="144" uniqueCount="85">
  <si>
    <t>Order ID</t>
  </si>
  <si>
    <t>Customer Name</t>
  </si>
  <si>
    <t>Product</t>
  </si>
  <si>
    <t>Price (₹)</t>
  </si>
  <si>
    <t>OD1004587211</t>
  </si>
  <si>
    <t>Aarav Sharma</t>
  </si>
  <si>
    <t>OD1004587212</t>
  </si>
  <si>
    <t>Priya Patel</t>
  </si>
  <si>
    <t>Realme P4 Lite 5G Mobile Phone</t>
  </si>
  <si>
    <t>OD1004587213</t>
  </si>
  <si>
    <t>Rohan Mehta</t>
  </si>
  <si>
    <t>OD1004587214</t>
  </si>
  <si>
    <t>Sneha Verma</t>
  </si>
  <si>
    <t>OD1004587215</t>
  </si>
  <si>
    <t>Karan Singh</t>
  </si>
  <si>
    <t>OD1004587216</t>
  </si>
  <si>
    <t>Ananya Gupta</t>
  </si>
  <si>
    <t>Elligator Wayfarer Sunglasses</t>
  </si>
  <si>
    <t>OD1004587217</t>
  </si>
  <si>
    <t>Rahul Joshi</t>
  </si>
  <si>
    <t>Asian Tarzan-11 Sneakers</t>
  </si>
  <si>
    <t>OD1004587218</t>
  </si>
  <si>
    <t>Neha Shah</t>
  </si>
  <si>
    <t>OD1004587219</t>
  </si>
  <si>
    <t>Vivek Kumar</t>
  </si>
  <si>
    <t>OD1004587220</t>
  </si>
  <si>
    <t>Isha Desai</t>
  </si>
  <si>
    <t>Fevicryl Mouldit Clay</t>
  </si>
  <si>
    <t>Boat Airdopes Alpha True Wireless Earbuds</t>
  </si>
  <si>
    <t>Noise Colorfit Icon 4 Smartwatch</t>
  </si>
  <si>
    <t>Safari Astra Neo Check-In Trolley Bag</t>
  </si>
  <si>
    <t>Campus Men'S Anon Walking Shoes</t>
  </si>
  <si>
    <t>Dailyobjects March Crossbody Bag</t>
  </si>
  <si>
    <t>Boat Stone 350 Pro Portable Bluetooth Speaker</t>
  </si>
  <si>
    <t>Dish Name</t>
  </si>
  <si>
    <t>Rating (⭐)</t>
  </si>
  <si>
    <t>Chicken Biryani</t>
  </si>
  <si>
    <t>Paneer Butter Masala</t>
  </si>
  <si>
    <t>Margherita Pizza (Medium)</t>
  </si>
  <si>
    <t>Veg Hakka Noodles</t>
  </si>
  <si>
    <t>Butter Chicken</t>
  </si>
  <si>
    <t>Masala Dosa</t>
  </si>
  <si>
    <t>Veg Burger with Fries</t>
  </si>
  <si>
    <t>Chocolate Brownie Sundae</t>
  </si>
  <si>
    <t>Instagram Username</t>
  </si>
  <si>
    <t>Name</t>
  </si>
  <si>
    <t>@aarav_sharma24</t>
  </si>
  <si>
    <t>+91 9876543210</t>
  </si>
  <si>
    <t>@priya_patel08</t>
  </si>
  <si>
    <t>+91 9823456712</t>
  </si>
  <si>
    <t>@rohan_mehta99</t>
  </si>
  <si>
    <t>+91 9912345678</t>
  </si>
  <si>
    <t>@sneha_verma21</t>
  </si>
  <si>
    <t>+91 9765432109</t>
  </si>
  <si>
    <t>@karan_singh07</t>
  </si>
  <si>
    <t>+91 9887654321</t>
  </si>
  <si>
    <t>@ananya_gupta11</t>
  </si>
  <si>
    <t>+91 9812345670</t>
  </si>
  <si>
    <t>@rahul_joshi55</t>
  </si>
  <si>
    <t>+91 9956781234</t>
  </si>
  <si>
    <t>@neha_shah18</t>
  </si>
  <si>
    <t>+91 9934567812</t>
  </si>
  <si>
    <t>@vivek_kumar27</t>
  </si>
  <si>
    <t>+91 9898765432</t>
  </si>
  <si>
    <t>@isha_desai09</t>
  </si>
  <si>
    <t>+91 9845671230</t>
  </si>
  <si>
    <t>@aditya_malhotra</t>
  </si>
  <si>
    <t>Aditya Malhotra</t>
  </si>
  <si>
    <t>+91 9923456781</t>
  </si>
  <si>
    <t>@kavya_rana15</t>
  </si>
  <si>
    <t>Kavya Rana</t>
  </si>
  <si>
    <t>+91 9789012345</t>
  </si>
  <si>
    <t>EXACT</t>
  </si>
  <si>
    <t>APPROX</t>
  </si>
  <si>
    <t>Niha Shah</t>
  </si>
  <si>
    <t>neha verma</t>
  </si>
  <si>
    <t>rahul josh</t>
  </si>
  <si>
    <t>In VLOOKUP if we want exact value then use 0 which provide exact result ortherwise N/A</t>
  </si>
  <si>
    <t>Shiv</t>
  </si>
  <si>
    <t xml:space="preserve">In VLOOKUP if we use approx value (i.e. 1) then the result would be either same or nearest to the result required (whether the input is misprinted or exact) but if we find value for the one not available in data then result got would be either N/A or any value from the data </t>
  </si>
  <si>
    <t>Result (EXPLAINATION OF WHAT HAPPENED)</t>
  </si>
  <si>
    <t xml:space="preserve">Mobile Number </t>
  </si>
  <si>
    <t>DISCOUNT</t>
  </si>
  <si>
    <t>DISCOUNTED PRICE</t>
  </si>
  <si>
    <t>Here, the one mean limitation of VLOOKUP function is that it can ony show result from the left side of the data which start with the informatin need row so in the above situation as the information need to find on basis of product name so the information get would be either price or discounted price but not able to fetch information regarding discount rate, customer name or order id as they are on right side of product name so the result would be #N/A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</si>
</sst>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_ ;_ [$₹-4009]\ * \-#,##0_ ;_ [$₹-4009]\ * &quot;-&quot;??_ ;_ @_ "/>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7">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right" vertical="center"/>
    </xf>
    <xf numFmtId="0" fontId="0" fillId="0" borderId="1" xfId="0" applyBorder="1" applyAlignment="1">
      <alignment vertical="center"/>
    </xf>
    <xf numFmtId="0" fontId="0" fillId="0" borderId="1" xfId="0" applyBorder="1" applyAlignment="1">
      <alignment horizontal="right" vertical="center"/>
    </xf>
    <xf numFmtId="3" fontId="0" fillId="0" borderId="1" xfId="0" applyNumberFormat="1" applyBorder="1" applyAlignment="1">
      <alignment horizontal="right" vertical="center"/>
    </xf>
    <xf numFmtId="0" fontId="0" fillId="0" borderId="1" xfId="0" applyBorder="1"/>
    <xf numFmtId="0" fontId="0" fillId="0" borderId="1" xfId="0" applyBorder="1" applyAlignment="1">
      <alignment horizontal="center" vertical="center"/>
    </xf>
    <xf numFmtId="0" fontId="1" fillId="0" borderId="0" xfId="0" applyFont="1" applyAlignment="1">
      <alignment horizontal="center" vertical="center"/>
    </xf>
    <xf numFmtId="0" fontId="0" fillId="0" borderId="0" xfId="0" applyAlignment="1">
      <alignment vertical="center"/>
    </xf>
    <xf numFmtId="0" fontId="0" fillId="0" borderId="0" xfId="0" applyAlignment="1">
      <alignment horizontal="right" vertical="center"/>
    </xf>
    <xf numFmtId="0" fontId="0" fillId="0" borderId="0" xfId="0" applyAlignment="1">
      <alignment horizontal="center" vertical="center"/>
    </xf>
    <xf numFmtId="164" fontId="0" fillId="0" borderId="1" xfId="0" applyNumberFormat="1" applyBorder="1" applyAlignment="1">
      <alignment horizontal="center" vertical="center"/>
    </xf>
    <xf numFmtId="0" fontId="0" fillId="0" borderId="1" xfId="0" applyBorder="1" applyAlignment="1">
      <alignment wrapText="1"/>
    </xf>
    <xf numFmtId="0" fontId="1" fillId="0" borderId="1" xfId="0" applyFont="1" applyBorder="1" applyAlignment="1">
      <alignment horizontal="center" vertical="center" wrapText="1"/>
    </xf>
    <xf numFmtId="0" fontId="1" fillId="0" borderId="1" xfId="0" applyFont="1" applyBorder="1" applyAlignment="1">
      <alignment wrapText="1"/>
    </xf>
    <xf numFmtId="0" fontId="0" fillId="0" borderId="1" xfId="0" applyBorder="1" applyAlignment="1">
      <alignment vertical="center" wrapText="1"/>
    </xf>
    <xf numFmtId="9" fontId="0" fillId="0" borderId="1" xfId="0" applyNumberFormat="1" applyBorder="1" applyAlignment="1">
      <alignment vertical="center"/>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1"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workbookViewId="0">
      <selection activeCell="G3" sqref="G3"/>
    </sheetView>
  </sheetViews>
  <sheetFormatPr defaultRowHeight="15" x14ac:dyDescent="0.25"/>
  <cols>
    <col min="1" max="1" width="13.85546875" bestFit="1" customWidth="1"/>
    <col min="2" max="2" width="15.42578125" bestFit="1" customWidth="1"/>
    <col min="3" max="3" width="43.7109375" bestFit="1" customWidth="1"/>
    <col min="4" max="4" width="8.42578125" bestFit="1" customWidth="1"/>
    <col min="6" max="6" width="34.28515625" bestFit="1" customWidth="1"/>
  </cols>
  <sheetData>
    <row r="1" spans="1:7" x14ac:dyDescent="0.25">
      <c r="A1" s="1" t="s">
        <v>0</v>
      </c>
      <c r="B1" s="1" t="s">
        <v>1</v>
      </c>
      <c r="C1" s="1" t="s">
        <v>2</v>
      </c>
      <c r="D1" s="2" t="s">
        <v>3</v>
      </c>
    </row>
    <row r="2" spans="1:7" x14ac:dyDescent="0.25">
      <c r="A2" s="3" t="s">
        <v>4</v>
      </c>
      <c r="B2" s="3" t="s">
        <v>5</v>
      </c>
      <c r="C2" s="3" t="s">
        <v>28</v>
      </c>
      <c r="D2" s="4">
        <v>899</v>
      </c>
      <c r="F2" s="1" t="s">
        <v>2</v>
      </c>
      <c r="G2" s="2" t="s">
        <v>3</v>
      </c>
    </row>
    <row r="3" spans="1:7" x14ac:dyDescent="0.25">
      <c r="A3" s="3" t="s">
        <v>6</v>
      </c>
      <c r="B3" s="3" t="s">
        <v>7</v>
      </c>
      <c r="C3" s="3" t="s">
        <v>8</v>
      </c>
      <c r="D3" s="5">
        <v>15499</v>
      </c>
      <c r="F3" s="6" t="s">
        <v>32</v>
      </c>
      <c r="G3" s="6">
        <f>VLOOKUP(F3,$C$1:$D$11,2,0)</f>
        <v>1869</v>
      </c>
    </row>
    <row r="4" spans="1:7" x14ac:dyDescent="0.25">
      <c r="A4" s="3" t="s">
        <v>9</v>
      </c>
      <c r="B4" s="3" t="s">
        <v>10</v>
      </c>
      <c r="C4" s="3" t="s">
        <v>29</v>
      </c>
      <c r="D4" s="5">
        <v>2199</v>
      </c>
    </row>
    <row r="5" spans="1:7" x14ac:dyDescent="0.25">
      <c r="A5" s="3" t="s">
        <v>11</v>
      </c>
      <c r="B5" s="3" t="s">
        <v>12</v>
      </c>
      <c r="C5" s="3" t="s">
        <v>30</v>
      </c>
      <c r="D5" s="5">
        <v>2499</v>
      </c>
    </row>
    <row r="6" spans="1:7" x14ac:dyDescent="0.25">
      <c r="A6" s="3" t="s">
        <v>13</v>
      </c>
      <c r="B6" s="3" t="s">
        <v>14</v>
      </c>
      <c r="C6" s="3" t="s">
        <v>31</v>
      </c>
      <c r="D6" s="4">
        <v>834</v>
      </c>
    </row>
    <row r="7" spans="1:7" x14ac:dyDescent="0.25">
      <c r="A7" s="3" t="s">
        <v>15</v>
      </c>
      <c r="B7" s="3" t="s">
        <v>16</v>
      </c>
      <c r="C7" s="3" t="s">
        <v>17</v>
      </c>
      <c r="D7" s="4">
        <v>179</v>
      </c>
    </row>
    <row r="8" spans="1:7" x14ac:dyDescent="0.25">
      <c r="A8" s="3" t="s">
        <v>18</v>
      </c>
      <c r="B8" s="3" t="s">
        <v>19</v>
      </c>
      <c r="C8" s="3" t="s">
        <v>20</v>
      </c>
      <c r="D8" s="4">
        <v>663</v>
      </c>
    </row>
    <row r="9" spans="1:7" x14ac:dyDescent="0.25">
      <c r="A9" s="3" t="s">
        <v>21</v>
      </c>
      <c r="B9" s="3" t="s">
        <v>22</v>
      </c>
      <c r="C9" s="3" t="s">
        <v>32</v>
      </c>
      <c r="D9" s="5">
        <v>1869</v>
      </c>
    </row>
    <row r="10" spans="1:7" x14ac:dyDescent="0.25">
      <c r="A10" s="3" t="s">
        <v>23</v>
      </c>
      <c r="B10" s="3" t="s">
        <v>24</v>
      </c>
      <c r="C10" s="3" t="s">
        <v>33</v>
      </c>
      <c r="D10" s="5">
        <v>1999</v>
      </c>
    </row>
    <row r="11" spans="1:7" x14ac:dyDescent="0.25">
      <c r="A11" s="3" t="s">
        <v>25</v>
      </c>
      <c r="B11" s="3" t="s">
        <v>26</v>
      </c>
      <c r="C11" s="3" t="s">
        <v>27</v>
      </c>
      <c r="D11" s="4">
        <v>246</v>
      </c>
    </row>
  </sheetData>
  <dataValidations count="1">
    <dataValidation type="list" allowBlank="1" showInputMessage="1" showErrorMessage="1" sqref="F3" xr:uid="{97D21AFD-9BD9-41D5-A9D1-171DF8A8BD39}">
      <formula1>$C$2:$C$11</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ACB03-C806-4495-A4ED-71DD760B2989}">
  <dimension ref="A1:I9"/>
  <sheetViews>
    <sheetView workbookViewId="0">
      <selection activeCell="C8" sqref="C8"/>
    </sheetView>
  </sheetViews>
  <sheetFormatPr defaultRowHeight="15" x14ac:dyDescent="0.25"/>
  <cols>
    <col min="1" max="1" width="11.5703125" bestFit="1" customWidth="1"/>
    <col min="2" max="2" width="14.7109375" bestFit="1" customWidth="1"/>
    <col min="3" max="3" width="20.140625" bestFit="1" customWidth="1"/>
    <col min="4" max="4" width="25.28515625" bestFit="1" customWidth="1"/>
    <col min="5" max="5" width="18.28515625" bestFit="1" customWidth="1"/>
    <col min="6" max="6" width="14.140625" bestFit="1" customWidth="1"/>
    <col min="7" max="7" width="11.85546875" bestFit="1" customWidth="1"/>
    <col min="8" max="8" width="20.140625" bestFit="1" customWidth="1"/>
    <col min="9" max="9" width="25.140625" bestFit="1" customWidth="1"/>
  </cols>
  <sheetData>
    <row r="1" spans="1:9" x14ac:dyDescent="0.25">
      <c r="A1" s="1" t="s">
        <v>34</v>
      </c>
      <c r="B1" s="3" t="s">
        <v>36</v>
      </c>
      <c r="C1" s="3" t="s">
        <v>37</v>
      </c>
      <c r="D1" s="3" t="s">
        <v>38</v>
      </c>
      <c r="E1" s="3" t="s">
        <v>39</v>
      </c>
      <c r="F1" s="3" t="s">
        <v>40</v>
      </c>
      <c r="G1" s="3" t="s">
        <v>41</v>
      </c>
      <c r="H1" s="3" t="s">
        <v>42</v>
      </c>
      <c r="I1" s="3" t="s">
        <v>43</v>
      </c>
    </row>
    <row r="2" spans="1:9" x14ac:dyDescent="0.25">
      <c r="A2" s="2" t="s">
        <v>3</v>
      </c>
      <c r="B2" s="12">
        <v>299</v>
      </c>
      <c r="C2" s="12">
        <v>249</v>
      </c>
      <c r="D2" s="12">
        <v>349</v>
      </c>
      <c r="E2" s="12">
        <v>219</v>
      </c>
      <c r="F2" s="12">
        <v>329</v>
      </c>
      <c r="G2" s="12">
        <v>169</v>
      </c>
      <c r="H2" s="12">
        <v>249</v>
      </c>
      <c r="I2" s="12">
        <v>189</v>
      </c>
    </row>
    <row r="3" spans="1:9" x14ac:dyDescent="0.25">
      <c r="A3" s="1" t="s">
        <v>35</v>
      </c>
      <c r="B3" s="7">
        <v>4.5999999999999996</v>
      </c>
      <c r="C3" s="7">
        <v>4.5</v>
      </c>
      <c r="D3" s="7">
        <v>4.4000000000000004</v>
      </c>
      <c r="E3" s="7">
        <v>4.3</v>
      </c>
      <c r="F3" s="7">
        <v>4.7</v>
      </c>
      <c r="G3" s="7">
        <v>4.4000000000000004</v>
      </c>
      <c r="H3" s="7">
        <v>4.2</v>
      </c>
      <c r="I3" s="7">
        <v>4.8</v>
      </c>
    </row>
    <row r="4" spans="1:9" x14ac:dyDescent="0.25">
      <c r="A4" s="9"/>
      <c r="B4" s="10"/>
      <c r="C4" s="11"/>
    </row>
    <row r="5" spans="1:9" x14ac:dyDescent="0.25">
      <c r="A5" s="9"/>
      <c r="B5" s="1" t="s">
        <v>34</v>
      </c>
      <c r="C5" s="7" t="s">
        <v>37</v>
      </c>
    </row>
    <row r="6" spans="1:9" x14ac:dyDescent="0.25">
      <c r="A6" s="9"/>
      <c r="B6" s="1" t="s">
        <v>35</v>
      </c>
      <c r="C6" s="7">
        <f>HLOOKUP($C$5,$A$1:$I$3,MATCH($B6,$A$1:$A$3,0),0)</f>
        <v>4.5</v>
      </c>
    </row>
    <row r="7" spans="1:9" x14ac:dyDescent="0.25">
      <c r="A7" s="9"/>
      <c r="B7" s="1" t="s">
        <v>3</v>
      </c>
      <c r="C7" s="7">
        <f>HLOOKUP($C$5,$A$1:$I$3,MATCH($B7,$A$1:$A$3,0),0)</f>
        <v>249</v>
      </c>
    </row>
    <row r="8" spans="1:9" x14ac:dyDescent="0.25">
      <c r="A8" s="9"/>
      <c r="B8" s="10"/>
      <c r="C8" s="11"/>
    </row>
    <row r="9" spans="1:9" x14ac:dyDescent="0.25">
      <c r="A9" s="9"/>
      <c r="B9" s="10"/>
      <c r="C9" s="11"/>
    </row>
  </sheetData>
  <dataValidations count="2">
    <dataValidation type="list" allowBlank="1" showInputMessage="1" showErrorMessage="1" sqref="C5" xr:uid="{8467618C-D0A5-4B7E-AE09-8B7404B65FDD}">
      <formula1>$B$1:$I$1</formula1>
    </dataValidation>
    <dataValidation type="list" allowBlank="1" showInputMessage="1" showErrorMessage="1" sqref="B6:B7" xr:uid="{DE0AA226-53AC-409B-9737-C8B8CF7187A5}">
      <formula1>$A$2:$A$3</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9E762-263E-439B-B5E4-45128ACDEE1A}">
  <dimension ref="A1:D21"/>
  <sheetViews>
    <sheetView topLeftCell="A2" zoomScaleNormal="100" workbookViewId="0">
      <selection activeCell="F15" sqref="F15"/>
    </sheetView>
  </sheetViews>
  <sheetFormatPr defaultRowHeight="15" x14ac:dyDescent="0.25"/>
  <cols>
    <col min="1" max="1" width="19.5703125" bestFit="1" customWidth="1"/>
    <col min="2" max="2" width="15.28515625" bestFit="1" customWidth="1"/>
    <col min="3" max="3" width="21.85546875" bestFit="1" customWidth="1"/>
    <col min="4" max="4" width="70.7109375" customWidth="1"/>
    <col min="6" max="6" width="21.7109375" bestFit="1" customWidth="1"/>
    <col min="7" max="7" width="19.5703125" bestFit="1" customWidth="1"/>
    <col min="8" max="8" width="21.85546875" bestFit="1" customWidth="1"/>
    <col min="9" max="9" width="30.42578125" customWidth="1"/>
  </cols>
  <sheetData>
    <row r="1" spans="1:4" x14ac:dyDescent="0.25">
      <c r="A1" s="1" t="s">
        <v>44</v>
      </c>
      <c r="B1" s="1" t="s">
        <v>45</v>
      </c>
      <c r="C1" s="1" t="s">
        <v>81</v>
      </c>
    </row>
    <row r="2" spans="1:4" x14ac:dyDescent="0.25">
      <c r="A2" s="3" t="s">
        <v>46</v>
      </c>
      <c r="B2" s="3" t="s">
        <v>5</v>
      </c>
      <c r="C2" s="3" t="s">
        <v>47</v>
      </c>
    </row>
    <row r="3" spans="1:4" x14ac:dyDescent="0.25">
      <c r="A3" s="3" t="s">
        <v>66</v>
      </c>
      <c r="B3" s="3" t="s">
        <v>67</v>
      </c>
      <c r="C3" s="3" t="s">
        <v>68</v>
      </c>
    </row>
    <row r="4" spans="1:4" x14ac:dyDescent="0.25">
      <c r="A4" s="3" t="s">
        <v>56</v>
      </c>
      <c r="B4" s="3" t="s">
        <v>16</v>
      </c>
      <c r="C4" s="3" t="s">
        <v>57</v>
      </c>
    </row>
    <row r="5" spans="1:4" x14ac:dyDescent="0.25">
      <c r="A5" s="3" t="s">
        <v>64</v>
      </c>
      <c r="B5" s="3" t="s">
        <v>26</v>
      </c>
      <c r="C5" s="3" t="s">
        <v>65</v>
      </c>
    </row>
    <row r="6" spans="1:4" x14ac:dyDescent="0.25">
      <c r="A6" s="3" t="s">
        <v>54</v>
      </c>
      <c r="B6" s="3" t="s">
        <v>14</v>
      </c>
      <c r="C6" s="3" t="s">
        <v>55</v>
      </c>
    </row>
    <row r="7" spans="1:4" x14ac:dyDescent="0.25">
      <c r="A7" s="3" t="s">
        <v>69</v>
      </c>
      <c r="B7" s="3" t="s">
        <v>70</v>
      </c>
      <c r="C7" s="3" t="s">
        <v>71</v>
      </c>
    </row>
    <row r="8" spans="1:4" x14ac:dyDescent="0.25">
      <c r="A8" s="3" t="s">
        <v>60</v>
      </c>
      <c r="B8" s="3" t="s">
        <v>22</v>
      </c>
      <c r="C8" s="3" t="s">
        <v>61</v>
      </c>
    </row>
    <row r="9" spans="1:4" x14ac:dyDescent="0.25">
      <c r="A9" s="3" t="s">
        <v>48</v>
      </c>
      <c r="B9" s="3" t="s">
        <v>7</v>
      </c>
      <c r="C9" s="3" t="s">
        <v>49</v>
      </c>
    </row>
    <row r="10" spans="1:4" x14ac:dyDescent="0.25">
      <c r="A10" s="3" t="s">
        <v>58</v>
      </c>
      <c r="B10" s="3" t="s">
        <v>19</v>
      </c>
      <c r="C10" s="3" t="s">
        <v>59</v>
      </c>
    </row>
    <row r="11" spans="1:4" x14ac:dyDescent="0.25">
      <c r="A11" s="3" t="s">
        <v>50</v>
      </c>
      <c r="B11" s="3" t="s">
        <v>10</v>
      </c>
      <c r="C11" s="3" t="s">
        <v>51</v>
      </c>
    </row>
    <row r="12" spans="1:4" x14ac:dyDescent="0.25">
      <c r="A12" s="3" t="s">
        <v>52</v>
      </c>
      <c r="B12" s="3" t="s">
        <v>12</v>
      </c>
      <c r="C12" s="3" t="s">
        <v>53</v>
      </c>
    </row>
    <row r="13" spans="1:4" x14ac:dyDescent="0.25">
      <c r="A13" s="3" t="s">
        <v>62</v>
      </c>
      <c r="B13" s="3" t="s">
        <v>24</v>
      </c>
      <c r="C13" s="3" t="s">
        <v>63</v>
      </c>
    </row>
    <row r="16" spans="1:4" x14ac:dyDescent="0.25">
      <c r="A16" s="13"/>
      <c r="B16" s="14" t="s">
        <v>45</v>
      </c>
      <c r="C16" s="15" t="s">
        <v>81</v>
      </c>
      <c r="D16" s="15" t="s">
        <v>80</v>
      </c>
    </row>
    <row r="17" spans="1:4" ht="30" x14ac:dyDescent="0.25">
      <c r="A17" s="14" t="s">
        <v>72</v>
      </c>
      <c r="B17" s="13" t="s">
        <v>14</v>
      </c>
      <c r="C17" s="16" t="str">
        <f>VLOOKUP(B17,$B$1:$C$13,MATCH($C$16,$B$1:$C$1,0),0)</f>
        <v>+91 9887654321</v>
      </c>
      <c r="D17" s="13" t="s">
        <v>77</v>
      </c>
    </row>
    <row r="18" spans="1:4" ht="15" customHeight="1" x14ac:dyDescent="0.25">
      <c r="A18" s="14" t="s">
        <v>73</v>
      </c>
      <c r="B18" s="13" t="s">
        <v>74</v>
      </c>
      <c r="C18" s="16" t="str">
        <f>VLOOKUP(B18,$B$1:$C$13,MATCH($C$16,$B$1:$C$1,0),1)</f>
        <v>+91 9934567812</v>
      </c>
      <c r="D18" s="22" t="s">
        <v>79</v>
      </c>
    </row>
    <row r="19" spans="1:4" x14ac:dyDescent="0.25">
      <c r="A19" s="13"/>
      <c r="B19" s="13" t="s">
        <v>75</v>
      </c>
      <c r="C19" s="16" t="str">
        <f>VLOOKUP(B19,$B$1:$C$13,MATCH($C$16,$B$1:$C$1,0),1)</f>
        <v>+91 9934567812</v>
      </c>
      <c r="D19" s="22"/>
    </row>
    <row r="20" spans="1:4" x14ac:dyDescent="0.25">
      <c r="A20" s="13"/>
      <c r="B20" s="13" t="s">
        <v>76</v>
      </c>
      <c r="C20" s="16" t="str">
        <f>VLOOKUP(B20,$B$1:$C$13,MATCH($C$16,$B$1:$C$1,0),1)</f>
        <v>+91 9823456712</v>
      </c>
      <c r="D20" s="22"/>
    </row>
    <row r="21" spans="1:4" x14ac:dyDescent="0.25">
      <c r="A21" s="6"/>
      <c r="B21" s="13" t="s">
        <v>78</v>
      </c>
      <c r="C21" s="16" t="str">
        <f>VLOOKUP(B21,$B$1:$C$13,MATCH($C$16,$B$1:$C$1,0),1)</f>
        <v>+91 9912345678</v>
      </c>
      <c r="D21" s="22"/>
    </row>
  </sheetData>
  <mergeCells count="1">
    <mergeCell ref="D18:D21"/>
  </mergeCells>
  <dataValidations count="2">
    <dataValidation type="list" allowBlank="1" showInputMessage="1" showErrorMessage="1" sqref="C16" xr:uid="{2A2AB119-B1AC-4958-9C71-137961B79D97}">
      <formula1>$B$1:$C$1</formula1>
    </dataValidation>
    <dataValidation type="list" allowBlank="1" showInputMessage="1" showErrorMessage="1" sqref="B17" xr:uid="{1D313BEF-DFA0-463D-AFD4-36DA885E25BE}">
      <formula1>$B$2:$B$13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7AA18-8872-4C6D-9570-37E277EE4F00}">
  <dimension ref="A1:J20"/>
  <sheetViews>
    <sheetView tabSelected="1" workbookViewId="0">
      <selection activeCell="F15" sqref="F15"/>
    </sheetView>
  </sheetViews>
  <sheetFormatPr defaultRowHeight="15" x14ac:dyDescent="0.25"/>
  <cols>
    <col min="1" max="1" width="13.85546875" bestFit="1" customWidth="1"/>
    <col min="2" max="2" width="15.42578125" bestFit="1" customWidth="1"/>
    <col min="3" max="3" width="9.85546875" customWidth="1"/>
    <col min="4" max="4" width="43.42578125" bestFit="1" customWidth="1"/>
    <col min="5" max="5" width="11.5703125" bestFit="1" customWidth="1"/>
    <col min="6" max="6" width="18.28515625" bestFit="1" customWidth="1"/>
  </cols>
  <sheetData>
    <row r="1" spans="1:6" x14ac:dyDescent="0.25">
      <c r="A1" s="1" t="s">
        <v>0</v>
      </c>
      <c r="B1" s="1" t="s">
        <v>1</v>
      </c>
      <c r="C1" s="1" t="s">
        <v>82</v>
      </c>
      <c r="D1" s="1" t="s">
        <v>2</v>
      </c>
      <c r="E1" s="2" t="s">
        <v>3</v>
      </c>
      <c r="F1" s="1" t="s">
        <v>83</v>
      </c>
    </row>
    <row r="2" spans="1:6" x14ac:dyDescent="0.25">
      <c r="A2" s="3" t="s">
        <v>4</v>
      </c>
      <c r="B2" s="3" t="s">
        <v>5</v>
      </c>
      <c r="C2" s="17">
        <v>0.05</v>
      </c>
      <c r="D2" s="3" t="s">
        <v>28</v>
      </c>
      <c r="E2" s="6">
        <v>898.95</v>
      </c>
      <c r="F2" s="6">
        <f>E2-(E2*C2)</f>
        <v>854.00250000000005</v>
      </c>
    </row>
    <row r="3" spans="1:6" x14ac:dyDescent="0.25">
      <c r="A3" s="3" t="s">
        <v>6</v>
      </c>
      <c r="B3" s="3" t="s">
        <v>7</v>
      </c>
      <c r="C3" s="17">
        <v>0.1</v>
      </c>
      <c r="D3" s="3" t="s">
        <v>8</v>
      </c>
      <c r="E3" s="6">
        <v>15498.9</v>
      </c>
      <c r="F3" s="6">
        <f t="shared" ref="F3:F11" si="0">E3-(E3*C3)</f>
        <v>13949.01</v>
      </c>
    </row>
    <row r="4" spans="1:6" x14ac:dyDescent="0.25">
      <c r="A4" s="3" t="s">
        <v>9</v>
      </c>
      <c r="B4" s="3" t="s">
        <v>10</v>
      </c>
      <c r="C4" s="17">
        <v>0.05</v>
      </c>
      <c r="D4" s="3" t="s">
        <v>29</v>
      </c>
      <c r="E4" s="6">
        <v>2199</v>
      </c>
      <c r="F4" s="6">
        <f t="shared" si="0"/>
        <v>2089.0500000000002</v>
      </c>
    </row>
    <row r="5" spans="1:6" x14ac:dyDescent="0.25">
      <c r="A5" s="3" t="s">
        <v>11</v>
      </c>
      <c r="B5" s="3" t="s">
        <v>12</v>
      </c>
      <c r="C5" s="17">
        <v>0.15</v>
      </c>
      <c r="D5" s="3" t="s">
        <v>30</v>
      </c>
      <c r="E5" s="6">
        <v>2499</v>
      </c>
      <c r="F5" s="6">
        <f t="shared" si="0"/>
        <v>2124.15</v>
      </c>
    </row>
    <row r="6" spans="1:6" x14ac:dyDescent="0.25">
      <c r="A6" s="3" t="s">
        <v>13</v>
      </c>
      <c r="B6" s="3" t="s">
        <v>14</v>
      </c>
      <c r="C6" s="17">
        <v>0.05</v>
      </c>
      <c r="D6" s="3" t="s">
        <v>31</v>
      </c>
      <c r="E6" s="6">
        <v>834</v>
      </c>
      <c r="F6" s="6">
        <f t="shared" si="0"/>
        <v>792.3</v>
      </c>
    </row>
    <row r="7" spans="1:6" x14ac:dyDescent="0.25">
      <c r="A7" s="3" t="s">
        <v>15</v>
      </c>
      <c r="B7" s="3" t="s">
        <v>16</v>
      </c>
      <c r="C7" s="17">
        <v>0.1</v>
      </c>
      <c r="D7" s="3" t="s">
        <v>17</v>
      </c>
      <c r="E7" s="6">
        <v>179</v>
      </c>
      <c r="F7" s="6">
        <f t="shared" si="0"/>
        <v>161.1</v>
      </c>
    </row>
    <row r="8" spans="1:6" x14ac:dyDescent="0.25">
      <c r="A8" s="3" t="s">
        <v>18</v>
      </c>
      <c r="B8" s="3" t="s">
        <v>19</v>
      </c>
      <c r="C8" s="17">
        <v>0.05</v>
      </c>
      <c r="D8" s="3" t="s">
        <v>20</v>
      </c>
      <c r="E8" s="6">
        <v>663</v>
      </c>
      <c r="F8" s="6">
        <f t="shared" si="0"/>
        <v>629.85</v>
      </c>
    </row>
    <row r="9" spans="1:6" x14ac:dyDescent="0.25">
      <c r="A9" s="3" t="s">
        <v>21</v>
      </c>
      <c r="B9" s="3" t="s">
        <v>22</v>
      </c>
      <c r="C9" s="17">
        <v>0.5</v>
      </c>
      <c r="D9" s="3" t="s">
        <v>32</v>
      </c>
      <c r="E9" s="6">
        <v>1869</v>
      </c>
      <c r="F9" s="6">
        <f t="shared" si="0"/>
        <v>934.5</v>
      </c>
    </row>
    <row r="10" spans="1:6" x14ac:dyDescent="0.25">
      <c r="A10" s="3" t="s">
        <v>23</v>
      </c>
      <c r="B10" s="3" t="s">
        <v>24</v>
      </c>
      <c r="C10" s="17">
        <v>0.1</v>
      </c>
      <c r="D10" s="3" t="s">
        <v>33</v>
      </c>
      <c r="E10" s="6">
        <v>1999</v>
      </c>
      <c r="F10" s="6">
        <f t="shared" si="0"/>
        <v>1799.1</v>
      </c>
    </row>
    <row r="11" spans="1:6" x14ac:dyDescent="0.25">
      <c r="A11" s="3" t="s">
        <v>25</v>
      </c>
      <c r="B11" s="3" t="s">
        <v>26</v>
      </c>
      <c r="C11" s="17">
        <v>0.05</v>
      </c>
      <c r="D11" s="3" t="s">
        <v>27</v>
      </c>
      <c r="E11" s="6">
        <v>246</v>
      </c>
      <c r="F11" s="6">
        <f t="shared" si="0"/>
        <v>233.7</v>
      </c>
    </row>
    <row r="15" spans="1:6" x14ac:dyDescent="0.25">
      <c r="B15" s="1" t="s">
        <v>2</v>
      </c>
      <c r="C15" s="2" t="s">
        <v>82</v>
      </c>
      <c r="D15" s="2" t="s">
        <v>3</v>
      </c>
      <c r="E15" s="8"/>
    </row>
    <row r="16" spans="1:6" x14ac:dyDescent="0.25">
      <c r="B16" s="3" t="s">
        <v>29</v>
      </c>
      <c r="C16" s="6" t="e">
        <f>VLOOKUP($B$16,$D$1:$F$11,MATCH(C15,$D$1:$F$1,0),0)</f>
        <v>#N/A</v>
      </c>
      <c r="D16" s="6">
        <f>VLOOKUP($B$16,$D$1:$F$11,MATCH(D15,$D$1:$F$1,0),0)</f>
        <v>2199</v>
      </c>
    </row>
    <row r="17" spans="2:10" ht="15.75" thickBot="1" x14ac:dyDescent="0.3"/>
    <row r="18" spans="2:10" ht="15" customHeight="1" x14ac:dyDescent="0.25">
      <c r="B18" s="18" t="s">
        <v>84</v>
      </c>
      <c r="C18" s="19"/>
      <c r="D18" s="19"/>
      <c r="E18" s="19"/>
      <c r="F18" s="19"/>
      <c r="G18" s="19"/>
      <c r="H18" s="19"/>
      <c r="I18" s="19"/>
      <c r="J18" s="20"/>
    </row>
    <row r="19" spans="2:10" x14ac:dyDescent="0.25">
      <c r="B19" s="21"/>
      <c r="C19" s="22"/>
      <c r="D19" s="22"/>
      <c r="E19" s="22"/>
      <c r="F19" s="22"/>
      <c r="G19" s="22"/>
      <c r="H19" s="22"/>
      <c r="I19" s="22"/>
      <c r="J19" s="23"/>
    </row>
    <row r="20" spans="2:10" ht="15.75" thickBot="1" x14ac:dyDescent="0.3">
      <c r="B20" s="24"/>
      <c r="C20" s="25"/>
      <c r="D20" s="25"/>
      <c r="E20" s="25"/>
      <c r="F20" s="25"/>
      <c r="G20" s="25"/>
      <c r="H20" s="25"/>
      <c r="I20" s="25"/>
      <c r="J20" s="26"/>
    </row>
  </sheetData>
  <mergeCells count="1">
    <mergeCell ref="B18:J20"/>
  </mergeCells>
  <dataValidations count="2">
    <dataValidation type="list" allowBlank="1" showInputMessage="1" showErrorMessage="1" sqref="B16" xr:uid="{F1CE67E4-35C0-4833-B75E-12D0CDD971C8}">
      <formula1>$D$2:$D$11</formula1>
    </dataValidation>
    <dataValidation type="list" allowBlank="1" showInputMessage="1" showErrorMessage="1" sqref="C15:D15" xr:uid="{B4B3B246-98EA-4E49-AC07-EEED932B42B8}">
      <formula1>$A$1:$F$1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vt:lpstr>
      <vt:lpstr>2</vt:lpstr>
      <vt:lpstr>3</vt:lpstr>
      <vt:lpstr>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2026-06-30T14:02:01Z</dcterms:modified>
</cp:coreProperties>
</file>