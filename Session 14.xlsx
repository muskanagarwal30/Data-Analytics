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esktop\TOP TECHS\data anaylitics\Excel\Assignment\"/>
    </mc:Choice>
  </mc:AlternateContent>
  <xr:revisionPtr revIDLastSave="0" documentId="13_ncr:1_{FAC537EE-CE6C-4617-B43A-E6BE7EEDA789}" xr6:coauthVersionLast="47" xr6:coauthVersionMax="47" xr10:uidLastSave="{00000000-0000-0000-0000-000000000000}"/>
  <bookViews>
    <workbookView xWindow="-120" yWindow="-120" windowWidth="20730" windowHeight="11160" xr2:uid="{00000000-000D-0000-FFFF-FFFF00000000}"/>
  </bookViews>
  <sheets>
    <sheet name="1" sheetId="2" r:id="rId1"/>
    <sheet name="2" sheetId="3" r:id="rId2"/>
    <sheet name="3" sheetId="4" r:id="rId3"/>
    <sheet name="4" sheetId="5" r:id="rId4"/>
    <sheet name="5" sheetId="10" r:id="rId5"/>
    <sheet name="data" sheetId="1" r:id="rId6"/>
  </sheets>
  <definedNames>
    <definedName name="Slicer_City">#N/A</definedName>
    <definedName name="Slicer_Restauran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4" l="1"/>
  <c r="D5" i="4"/>
  <c r="D6" i="4"/>
  <c r="D7" i="4"/>
  <c r="D8" i="4"/>
  <c r="D9" i="4"/>
  <c r="D10" i="4"/>
  <c r="D11" i="4"/>
  <c r="D12" i="4"/>
  <c r="D13" i="4"/>
  <c r="D14" i="4"/>
  <c r="D15" i="4"/>
  <c r="D3" i="4"/>
</calcChain>
</file>

<file path=xl/sharedStrings.xml><?xml version="1.0" encoding="utf-8"?>
<sst xmlns="http://schemas.openxmlformats.org/spreadsheetml/2006/main" count="221" uniqueCount="95">
  <si>
    <t>Order ID</t>
  </si>
  <si>
    <t>Restaurant</t>
  </si>
  <si>
    <t>City</t>
  </si>
  <si>
    <t>Delivery Partner</t>
  </si>
  <si>
    <t>Amount</t>
  </si>
  <si>
    <t>Order Date</t>
  </si>
  <si>
    <t>Spice Hub</t>
  </si>
  <si>
    <t>Mumbai</t>
  </si>
  <si>
    <t>Swiggy</t>
  </si>
  <si>
    <t>Curry Palace</t>
  </si>
  <si>
    <t>Delhi</t>
  </si>
  <si>
    <t>Zomato</t>
  </si>
  <si>
    <t>Pizza Express</t>
  </si>
  <si>
    <t>Bangalore</t>
  </si>
  <si>
    <t>Uber Eats</t>
  </si>
  <si>
    <t>Biryani House</t>
  </si>
  <si>
    <t>Hyderabad</t>
  </si>
  <si>
    <t>Veggie Delight</t>
  </si>
  <si>
    <t>Pune</t>
  </si>
  <si>
    <t>BBQ Nation</t>
  </si>
  <si>
    <t>Chennai</t>
  </si>
  <si>
    <t>Dumpling Den</t>
  </si>
  <si>
    <t>Kolkata</t>
  </si>
  <si>
    <t>Burger Shack</t>
  </si>
  <si>
    <t>Ahmedabad</t>
  </si>
  <si>
    <t>Tandoori Treats</t>
  </si>
  <si>
    <t>Jaipur</t>
  </si>
  <si>
    <t>Pasta Point</t>
  </si>
  <si>
    <t>Sushi World</t>
  </si>
  <si>
    <t>Wrap &amp; Roll</t>
  </si>
  <si>
    <t>Kebab Junction</t>
  </si>
  <si>
    <t>Salad Stop</t>
  </si>
  <si>
    <t>Noodle Nest</t>
  </si>
  <si>
    <t>Pizza Mania</t>
  </si>
  <si>
    <t>Curry Corner</t>
  </si>
  <si>
    <t>Grill Master</t>
  </si>
  <si>
    <t>Taco Town</t>
  </si>
  <si>
    <t>Dum Biryani</t>
  </si>
  <si>
    <t>Burger Express</t>
  </si>
  <si>
    <t>Falafel Factory</t>
  </si>
  <si>
    <t>BBQ Grill</t>
  </si>
  <si>
    <t>Veggie Bowl</t>
  </si>
  <si>
    <t>Curry Leaf</t>
  </si>
  <si>
    <t>Burger Hub</t>
  </si>
  <si>
    <t>Pasta Fiesta</t>
  </si>
  <si>
    <t>Sushi Express</t>
  </si>
  <si>
    <t>Wrap Junction</t>
  </si>
  <si>
    <t>Kebab King</t>
  </si>
  <si>
    <t>Salad Fresh</t>
  </si>
  <si>
    <t>Noodle House</t>
  </si>
  <si>
    <t>Pizza Planet</t>
  </si>
  <si>
    <t>Curry Delight</t>
  </si>
  <si>
    <t>Dumpling Hut</t>
  </si>
  <si>
    <t>Burger Nation</t>
  </si>
  <si>
    <t>Tandoori Tales</t>
  </si>
  <si>
    <t>Pasta World</t>
  </si>
  <si>
    <t>Sushi Stop</t>
  </si>
  <si>
    <t>Wrap Delight</t>
  </si>
  <si>
    <t>Kebab Express</t>
  </si>
  <si>
    <t>Salad Junction</t>
  </si>
  <si>
    <t>Noodle Express</t>
  </si>
  <si>
    <t>Pizza Hub</t>
  </si>
  <si>
    <t>Curry Nation</t>
  </si>
  <si>
    <t>Grill House</t>
  </si>
  <si>
    <t>Taco Express</t>
  </si>
  <si>
    <t>Dum Biryani Hut</t>
  </si>
  <si>
    <t>Falafel Hub</t>
  </si>
  <si>
    <t>BBQ Delight</t>
  </si>
  <si>
    <t>Veggie Express</t>
  </si>
  <si>
    <t>Curry Junction</t>
  </si>
  <si>
    <t>Sum of Amount</t>
  </si>
  <si>
    <t>Row Labels</t>
  </si>
  <si>
    <t>Grand Total</t>
  </si>
  <si>
    <t>2025</t>
  </si>
  <si>
    <t>2026</t>
  </si>
  <si>
    <t>Apr</t>
  </si>
  <si>
    <t>May</t>
  </si>
  <si>
    <t>Mar</t>
  </si>
  <si>
    <t>Jun</t>
  </si>
  <si>
    <t>Jul</t>
  </si>
  <si>
    <t>Aug</t>
  </si>
  <si>
    <t>Sep</t>
  </si>
  <si>
    <t>Oct</t>
  </si>
  <si>
    <t>Nov</t>
  </si>
  <si>
    <t>Dec</t>
  </si>
  <si>
    <t>Jan</t>
  </si>
  <si>
    <t>Feb</t>
  </si>
  <si>
    <t>Qtr1</t>
  </si>
  <si>
    <t>Qtr2</t>
  </si>
  <si>
    <t>Qtr3</t>
  </si>
  <si>
    <t>Qtr4</t>
  </si>
  <si>
    <t>Count of Order ID</t>
  </si>
  <si>
    <t>Months (Order Date)</t>
  </si>
  <si>
    <t>Here, we can observe that excel immediately creates a brand-new worksheet in our workbook and this sheet displays a clean, detailed table listing every single transaction like date of order, amount of order that contributed to that specific quarterly sum.</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</si>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</sst>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70" formatCode="_ &quot;₹&quot;\ * #,##0_ ;_ &quot;₹&quot;\ * \-#,##0_ ;_ &quot;₹&quot;\ * &quot;-&quot;??_ ;_ @_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44" fontId="2" fillId="0" borderId="0" applyFont="0" applyFill="0" applyBorder="0" applyAlignment="0" applyProtection="0"/>
  </cellStyleXfs>
  <cellXfs count="25">
    <xf numFmtId="0" fontId="0" fillId="0" borderId="0" xfId="0"/>
    <xf numFmtId="0" fontId="1" fillId="0" borderId="0" xfId="0" applyFont="1" applyAlignment="1">
      <alignment horizontal="center" vertical="center"/>
    </xf>
    <xf numFmtId="0" fontId="0" fillId="0" borderId="0" xfId="0" applyAlignment="1">
      <alignment vertical="center"/>
    </xf>
    <xf numFmtId="0" fontId="1" fillId="0" borderId="1" xfId="0" applyFont="1" applyBorder="1" applyAlignment="1">
      <alignment horizontal="center" vertical="center"/>
    </xf>
    <xf numFmtId="0" fontId="0" fillId="0" borderId="1" xfId="0" applyBorder="1" applyAlignment="1">
      <alignment vertical="center"/>
    </xf>
    <xf numFmtId="14" fontId="0" fillId="0" borderId="1" xfId="0" applyNumberFormat="1" applyBorder="1" applyAlignment="1">
      <alignment vertical="center"/>
    </xf>
    <xf numFmtId="0" fontId="1" fillId="0" borderId="1" xfId="0" applyFont="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0" xfId="0"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1" fillId="2" borderId="10" xfId="0" applyFont="1" applyFill="1" applyBorder="1"/>
    <xf numFmtId="1" fontId="0" fillId="0" borderId="0" xfId="0" applyNumberFormat="1"/>
    <xf numFmtId="170" fontId="0" fillId="0" borderId="0" xfId="0" applyNumberFormat="1"/>
    <xf numFmtId="170" fontId="0" fillId="0" borderId="0" xfId="1" applyNumberFormat="1" applyFont="1"/>
    <xf numFmtId="170" fontId="1" fillId="2" borderId="11" xfId="1" applyNumberFormat="1" applyFont="1" applyFill="1" applyBorder="1"/>
  </cellXfs>
  <cellStyles count="2">
    <cellStyle name="Currency" xfId="1" builtinId="4"/>
    <cellStyle name="Normal" xfId="0" builtinId="0"/>
  </cellStyles>
  <dxfs count="11">
    <dxf>
      <numFmt numFmtId="169" formatCode="_ &quot;₹&quot;\ * #,##0.0_ ;_ &quot;₹&quot;\ * \-#,##0.0_ ;_ &quot;₹&quot;\ * &quot;-&quot;??_ ;_ @_ "/>
    </dxf>
    <dxf>
      <numFmt numFmtId="170" formatCode="_ &quot;₹&quot;\ * #,##0_ ;_ &quot;₹&quot;\ * \-#,##0_ ;_ &quot;₹&quot;\ * &quot;-&quot;??_ ;_ @_ "/>
    </dxf>
    <dxf>
      <numFmt numFmtId="1" formatCode="0"/>
    </dxf>
    <dxf>
      <numFmt numFmtId="169" formatCode="_ &quot;₹&quot;\ * #,##0.0_ ;_ &quot;₹&quot;\ * \-#,##0.0_ ;_ &quot;₹&quot;\ * &quot;-&quot;??_ ;_ @_ "/>
    </dxf>
    <dxf>
      <numFmt numFmtId="34" formatCode="_ &quot;₹&quot;\ * #,##0.00_ ;_ &quot;₹&quot;\ * \-#,##0.00_ ;_ &quot;₹&quot;\ * &quot;-&quot;??_ ;_ @_ "/>
    </dxf>
    <dxf>
      <numFmt numFmtId="1" formatCode="0"/>
    </dxf>
    <dxf>
      <numFmt numFmtId="34" formatCode="_ &quot;₹&quot;\ * #,##0.00_ ;_ &quot;₹&quot;\ * \-#,##0.00_ ;_ &quot;₹&quot;\ * &quot;-&quot;??_ ;_ @_ "/>
    </dxf>
    <dxf>
      <numFmt numFmtId="1" formatCode="0"/>
    </dxf>
    <dxf>
      <numFmt numFmtId="168" formatCode="0.0"/>
    </dxf>
    <dxf>
      <numFmt numFmtId="1" formatCode="0"/>
    </dxf>
    <dxf>
      <numFmt numFmtId="168"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4</xdr:col>
      <xdr:colOff>200025</xdr:colOff>
      <xdr:row>0</xdr:row>
      <xdr:rowOff>19050</xdr:rowOff>
    </xdr:from>
    <xdr:to>
      <xdr:col>7</xdr:col>
      <xdr:colOff>200025</xdr:colOff>
      <xdr:row>13</xdr:row>
      <xdr:rowOff>66675</xdr:rowOff>
    </xdr:to>
    <mc:AlternateContent xmlns:mc="http://schemas.openxmlformats.org/markup-compatibility/2006" xmlns:a14="http://schemas.microsoft.com/office/drawing/2010/main">
      <mc:Choice Requires="a14">
        <xdr:graphicFrame macro="">
          <xdr:nvGraphicFramePr>
            <xdr:cNvPr id="2" name="Restaurant">
              <a:extLst>
                <a:ext uri="{FF2B5EF4-FFF2-40B4-BE49-F238E27FC236}">
                  <a16:creationId xmlns:a16="http://schemas.microsoft.com/office/drawing/2014/main" id="{16109F4D-5169-6D94-8041-CD2D0F151A0B}"/>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3286125" y="19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323850</xdr:colOff>
      <xdr:row>0</xdr:row>
      <xdr:rowOff>9525</xdr:rowOff>
    </xdr:from>
    <xdr:to>
      <xdr:col>10</xdr:col>
      <xdr:colOff>323850</xdr:colOff>
      <xdr:row>13</xdr:row>
      <xdr:rowOff>57150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6FCBE5D5-321E-7EE6-32C2-C647F3AB4D2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238750" y="9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9.050042824078" createdVersion="8" refreshedVersion="8" minRefreshableVersion="3" recordCount="52" xr:uid="{39C724F9-9C51-4C55-A463-D8F43D4A7EB0}">
  <cacheSource type="worksheet">
    <worksheetSource ref="A2:F54" sheet="data"/>
  </cacheSource>
  <cacheFields count="10">
    <cacheField name="Order ID" numFmtId="0">
      <sharedItems containsSemiMixedTypes="0" containsString="0" containsNumber="1" containsInteger="1" minValue="1001" maxValue="1052" count="52">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sharedItems>
    </cacheField>
    <cacheField name="Restaurant" numFmtId="0">
      <sharedItems count="52">
        <s v="Spice Hub"/>
        <s v="Curry Palace"/>
        <s v="Pizza Express"/>
        <s v="Biryani House"/>
        <s v="Veggie Delight"/>
        <s v="BBQ Nation"/>
        <s v="Dumpling Den"/>
        <s v="Burger Shack"/>
        <s v="Tandoori Treats"/>
        <s v="Pasta Point"/>
        <s v="Sushi World"/>
        <s v="Wrap &amp; Roll"/>
        <s v="Kebab Junction"/>
        <s v="Salad Stop"/>
        <s v="Noodle Nest"/>
        <s v="Pizza Mania"/>
        <s v="Curry Corner"/>
        <s v="Grill Master"/>
        <s v="Taco Town"/>
        <s v="Dum Biryani"/>
        <s v="Falafel Factory"/>
        <s v="BBQ Grill"/>
        <s v="Veggie Bowl"/>
        <s v="Curry Leaf"/>
        <s v="Burger Hub"/>
        <s v="Pasta Fiesta"/>
        <s v="Sushi Express"/>
        <s v="Wrap Junction"/>
        <s v="Kebab King"/>
        <s v="Salad Fresh"/>
        <s v="Noodle House"/>
        <s v="Pizza Planet"/>
        <s v="Curry Delight"/>
        <s v="Dumpling Hut"/>
        <s v="Burger Nation"/>
        <s v="Tandoori Tales"/>
        <s v="Pasta World"/>
        <s v="Sushi Stop"/>
        <s v="Wrap Delight"/>
        <s v="Kebab Express"/>
        <s v="Salad Junction"/>
        <s v="Noodle Express"/>
        <s v="Pizza Hub"/>
        <s v="Curry Nation"/>
        <s v="Grill House"/>
        <s v="Taco Express"/>
        <s v="Dum Biryani Hut"/>
        <s v="Falafel Hub"/>
        <s v="BBQ Delight"/>
        <s v="Veggie Express"/>
        <s v="Curry Junction"/>
        <s v="Burger Express"/>
      </sharedItems>
    </cacheField>
    <cacheField name="City" numFmtId="0">
      <sharedItems count="9">
        <s v="Mumbai"/>
        <s v="Delhi"/>
        <s v="Bangalore"/>
        <s v="Hyderabad"/>
        <s v="Pune"/>
        <s v="Chennai"/>
        <s v="Kolkata"/>
        <s v="Ahmedabad"/>
        <s v="Jaipur"/>
      </sharedItems>
    </cacheField>
    <cacheField name="Delivery Partner" numFmtId="0">
      <sharedItems/>
    </cacheField>
    <cacheField name="Amount" numFmtId="0">
      <sharedItems containsSemiMixedTypes="0" containsString="0" containsNumber="1" containsInteger="1" minValue="250" maxValue="920"/>
    </cacheField>
    <cacheField name="Order Date" numFmtId="14">
      <sharedItems containsSemiMixedTypes="0" containsNonDate="0" containsDate="1" containsString="0" minDate="2025-04-01T00:00:00" maxDate="2026-04-01T00:00:00" count="52">
        <d v="2025-04-01T00:00:00"/>
        <d v="2025-04-10T00:00:00"/>
        <d v="2025-04-20T00:00:00"/>
        <d v="2025-04-30T00:00:00"/>
        <d v="2025-05-05T00:00:00"/>
        <d v="2025-05-12T00:00:00"/>
        <d v="2025-05-20T00:00:00"/>
        <d v="2025-05-28T00:00:00"/>
        <d v="2025-06-02T00:00:00"/>
        <d v="2025-06-10T00:00:00"/>
        <d v="2025-06-18T00:00:00"/>
        <d v="2025-06-25T00:00:00"/>
        <d v="2025-07-03T00:00:00"/>
        <d v="2025-07-12T00:00:00"/>
        <d v="2025-07-20T00:00:00"/>
        <d v="2025-07-28T00:00:00"/>
        <d v="2025-08-04T00:00:00"/>
        <d v="2025-08-12T00:00:00"/>
        <d v="2025-08-20T00:00:00"/>
        <d v="2025-08-28T00:00:00"/>
        <d v="2025-09-05T00:00:00"/>
        <d v="2025-09-12T00:00:00"/>
        <d v="2025-09-20T00:00:00"/>
        <d v="2025-09-28T00:00:00"/>
        <d v="2025-10-03T00:00:00"/>
        <d v="2025-10-12T00:00:00"/>
        <d v="2025-10-20T00:00:00"/>
        <d v="2025-10-28T00:00:00"/>
        <d v="2025-11-05T00:00:00"/>
        <d v="2025-11-12T00:00:00"/>
        <d v="2025-11-20T00:00:00"/>
        <d v="2025-11-28T00:00:00"/>
        <d v="2025-12-04T00:00:00"/>
        <d v="2025-12-12T00:00:00"/>
        <d v="2025-12-20T00:00:00"/>
        <d v="2025-12-28T00:00:00"/>
        <d v="2026-01-05T00:00:00"/>
        <d v="2026-01-12T00:00:00"/>
        <d v="2026-01-20T00:00:00"/>
        <d v="2026-01-28T00:00:00"/>
        <d v="2026-02-03T00:00:00"/>
        <d v="2026-02-12T00:00:00"/>
        <d v="2026-02-20T00:00:00"/>
        <d v="2026-02-28T00:00:00"/>
        <d v="2026-03-05T00:00:00"/>
        <d v="2026-03-12T00:00:00"/>
        <d v="2026-03-20T00:00:00"/>
        <d v="2026-03-25T00:00:00"/>
        <d v="2026-03-28T00:00:00"/>
        <d v="2026-03-29T00:00:00"/>
        <d v="2026-03-30T00:00:00"/>
        <d v="2026-03-31T00:00:00"/>
      </sharedItems>
      <fieldGroup par="8"/>
    </cacheField>
    <cacheField name="Months (Order Date)" numFmtId="0" databaseField="0">
      <fieldGroup base="5">
        <rangePr groupBy="months" startDate="2025-04-01T00:00:00" endDate="2026-04-01T00:00:00"/>
        <groupItems count="14">
          <s v="&lt;01-04-2025"/>
          <s v="Jan"/>
          <s v="Feb"/>
          <s v="Mar"/>
          <s v="Apr"/>
          <s v="May"/>
          <s v="Jun"/>
          <s v="Jul"/>
          <s v="Aug"/>
          <s v="Sep"/>
          <s v="Oct"/>
          <s v="Nov"/>
          <s v="Dec"/>
          <s v="&gt;01-04-2026"/>
        </groupItems>
      </fieldGroup>
    </cacheField>
    <cacheField name="Quarters (Order Date)" numFmtId="0" databaseField="0">
      <fieldGroup base="5">
        <rangePr groupBy="quarters" startDate="2025-04-01T00:00:00" endDate="2026-04-01T00:00:00"/>
        <groupItems count="6">
          <s v="&lt;01-04-2025"/>
          <s v="Qtr1"/>
          <s v="Qtr2"/>
          <s v="Qtr3"/>
          <s v="Qtr4"/>
          <s v="&gt;01-04-2026"/>
        </groupItems>
      </fieldGroup>
    </cacheField>
    <cacheField name="Years (Order Date)" numFmtId="0" databaseField="0">
      <fieldGroup base="5">
        <rangePr groupBy="years" startDate="2025-04-01T00:00:00" endDate="2026-04-01T00:00:00"/>
        <groupItems count="4">
          <s v="&lt;01-04-2025"/>
          <s v="2025"/>
          <s v="2026"/>
          <s v="&gt;01-04-2026"/>
        </groupItems>
      </fieldGroup>
    </cacheField>
    <cacheField name="Field1" numFmtId="0" formula="Amount/'Order ID'" databaseField="0"/>
  </cacheFields>
  <extLst>
    <ext xmlns:x14="http://schemas.microsoft.com/office/spreadsheetml/2009/9/main" uri="{725AE2AE-9491-48be-B2B4-4EB974FC3084}">
      <x14:pivotCacheDefinition pivotCacheId="498372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x v="0"/>
    <s v="Swiggy"/>
    <n v="450"/>
    <x v="0"/>
  </r>
  <r>
    <x v="1"/>
    <x v="1"/>
    <x v="1"/>
    <s v="Zomato"/>
    <n v="320"/>
    <x v="1"/>
  </r>
  <r>
    <x v="2"/>
    <x v="2"/>
    <x v="2"/>
    <s v="Uber Eats"/>
    <n v="600"/>
    <x v="2"/>
  </r>
  <r>
    <x v="3"/>
    <x v="3"/>
    <x v="3"/>
    <s v="Swiggy"/>
    <n v="550"/>
    <x v="3"/>
  </r>
  <r>
    <x v="4"/>
    <x v="4"/>
    <x v="4"/>
    <s v="Zomato"/>
    <n v="280"/>
    <x v="4"/>
  </r>
  <r>
    <x v="5"/>
    <x v="5"/>
    <x v="5"/>
    <s v="Swiggy"/>
    <n v="720"/>
    <x v="5"/>
  </r>
  <r>
    <x v="6"/>
    <x v="6"/>
    <x v="6"/>
    <s v="Uber Eats"/>
    <n v="430"/>
    <x v="6"/>
  </r>
  <r>
    <x v="7"/>
    <x v="7"/>
    <x v="7"/>
    <s v="Zomato"/>
    <n v="390"/>
    <x v="7"/>
  </r>
  <r>
    <x v="8"/>
    <x v="8"/>
    <x v="8"/>
    <s v="Swiggy"/>
    <n v="510"/>
    <x v="8"/>
  </r>
  <r>
    <x v="9"/>
    <x v="9"/>
    <x v="0"/>
    <s v="Uber Eats"/>
    <n v="470"/>
    <x v="9"/>
  </r>
  <r>
    <x v="10"/>
    <x v="10"/>
    <x v="1"/>
    <s v="Zomato"/>
    <n v="890"/>
    <x v="10"/>
  </r>
  <r>
    <x v="11"/>
    <x v="11"/>
    <x v="2"/>
    <s v="Swiggy"/>
    <n v="310"/>
    <x v="11"/>
  </r>
  <r>
    <x v="12"/>
    <x v="12"/>
    <x v="3"/>
    <s v="Uber Eats"/>
    <n v="560"/>
    <x v="12"/>
  </r>
  <r>
    <x v="13"/>
    <x v="13"/>
    <x v="4"/>
    <s v="Zomato"/>
    <n v="250"/>
    <x v="13"/>
  </r>
  <r>
    <x v="14"/>
    <x v="14"/>
    <x v="5"/>
    <s v="Swiggy"/>
    <n v="420"/>
    <x v="14"/>
  </r>
  <r>
    <x v="15"/>
    <x v="15"/>
    <x v="6"/>
    <s v="Uber Eats"/>
    <n v="640"/>
    <x v="15"/>
  </r>
  <r>
    <x v="16"/>
    <x v="16"/>
    <x v="7"/>
    <s v="Zomato"/>
    <n v="370"/>
    <x v="16"/>
  </r>
  <r>
    <x v="17"/>
    <x v="17"/>
    <x v="8"/>
    <s v="Swiggy"/>
    <n v="780"/>
    <x v="17"/>
  </r>
  <r>
    <x v="18"/>
    <x v="18"/>
    <x v="0"/>
    <s v="Uber Eats"/>
    <n v="520"/>
    <x v="18"/>
  </r>
  <r>
    <x v="19"/>
    <x v="19"/>
    <x v="1"/>
    <s v="Zomato"/>
    <n v="460"/>
    <x v="19"/>
  </r>
  <r>
    <x v="20"/>
    <x v="20"/>
    <x v="2"/>
    <s v="Swiggy"/>
    <n v="330"/>
    <x v="20"/>
  </r>
  <r>
    <x v="21"/>
    <x v="21"/>
    <x v="3"/>
    <s v="Uber Eats"/>
    <n v="710"/>
    <x v="21"/>
  </r>
  <r>
    <x v="22"/>
    <x v="22"/>
    <x v="4"/>
    <s v="Zomato"/>
    <n v="290"/>
    <x v="22"/>
  </r>
  <r>
    <x v="23"/>
    <x v="23"/>
    <x v="5"/>
    <s v="Swiggy"/>
    <n v="480"/>
    <x v="23"/>
  </r>
  <r>
    <x v="24"/>
    <x v="24"/>
    <x v="6"/>
    <s v="Uber Eats"/>
    <n v="410"/>
    <x v="24"/>
  </r>
  <r>
    <x v="25"/>
    <x v="25"/>
    <x v="7"/>
    <s v="Zomato"/>
    <n v="360"/>
    <x v="25"/>
  </r>
  <r>
    <x v="26"/>
    <x v="26"/>
    <x v="8"/>
    <s v="Swiggy"/>
    <n v="920"/>
    <x v="26"/>
  </r>
  <r>
    <x v="27"/>
    <x v="27"/>
    <x v="0"/>
    <s v="Uber Eats"/>
    <n v="340"/>
    <x v="27"/>
  </r>
  <r>
    <x v="28"/>
    <x v="28"/>
    <x v="1"/>
    <s v="Zomato"/>
    <n v="570"/>
    <x v="28"/>
  </r>
  <r>
    <x v="29"/>
    <x v="29"/>
    <x v="2"/>
    <s v="Swiggy"/>
    <n v="260"/>
    <x v="29"/>
  </r>
  <r>
    <x v="30"/>
    <x v="30"/>
    <x v="3"/>
    <s v="Uber Eats"/>
    <n v="450"/>
    <x v="30"/>
  </r>
  <r>
    <x v="31"/>
    <x v="31"/>
    <x v="4"/>
    <s v="Zomato"/>
    <n v="620"/>
    <x v="31"/>
  </r>
  <r>
    <x v="32"/>
    <x v="32"/>
    <x v="5"/>
    <s v="Swiggy"/>
    <n v="390"/>
    <x v="32"/>
  </r>
  <r>
    <x v="33"/>
    <x v="33"/>
    <x v="6"/>
    <s v="Uber Eats"/>
    <n v="430"/>
    <x v="33"/>
  </r>
  <r>
    <x v="34"/>
    <x v="34"/>
    <x v="7"/>
    <s v="Zomato"/>
    <n v="400"/>
    <x v="34"/>
  </r>
  <r>
    <x v="35"/>
    <x v="35"/>
    <x v="8"/>
    <s v="Swiggy"/>
    <n v="560"/>
    <x v="35"/>
  </r>
  <r>
    <x v="36"/>
    <x v="36"/>
    <x v="0"/>
    <s v="Uber Eats"/>
    <n v="490"/>
    <x v="36"/>
  </r>
  <r>
    <x v="37"/>
    <x v="37"/>
    <x v="1"/>
    <s v="Zomato"/>
    <n v="870"/>
    <x v="37"/>
  </r>
  <r>
    <x v="38"/>
    <x v="38"/>
    <x v="2"/>
    <s v="Swiggy"/>
    <n v="310"/>
    <x v="38"/>
  </r>
  <r>
    <x v="39"/>
    <x v="39"/>
    <x v="3"/>
    <s v="Uber Eats"/>
    <n v="580"/>
    <x v="39"/>
  </r>
  <r>
    <x v="40"/>
    <x v="40"/>
    <x v="4"/>
    <s v="Zomato"/>
    <n v="270"/>
    <x v="40"/>
  </r>
  <r>
    <x v="41"/>
    <x v="41"/>
    <x v="5"/>
    <s v="Swiggy"/>
    <n v="440"/>
    <x v="41"/>
  </r>
  <r>
    <x v="42"/>
    <x v="42"/>
    <x v="6"/>
    <s v="Uber Eats"/>
    <n v="650"/>
    <x v="42"/>
  </r>
  <r>
    <x v="43"/>
    <x v="43"/>
    <x v="7"/>
    <s v="Zomato"/>
    <n v="380"/>
    <x v="43"/>
  </r>
  <r>
    <x v="44"/>
    <x v="44"/>
    <x v="8"/>
    <s v="Swiggy"/>
    <n v="800"/>
    <x v="44"/>
  </r>
  <r>
    <x v="45"/>
    <x v="45"/>
    <x v="0"/>
    <s v="Uber Eats"/>
    <n v="540"/>
    <x v="45"/>
  </r>
  <r>
    <x v="46"/>
    <x v="46"/>
    <x v="1"/>
    <s v="Zomato"/>
    <n v="470"/>
    <x v="46"/>
  </r>
  <r>
    <x v="47"/>
    <x v="47"/>
    <x v="2"/>
    <s v="Swiggy"/>
    <n v="340"/>
    <x v="47"/>
  </r>
  <r>
    <x v="48"/>
    <x v="48"/>
    <x v="3"/>
    <s v="Uber Eats"/>
    <n v="720"/>
    <x v="48"/>
  </r>
  <r>
    <x v="49"/>
    <x v="49"/>
    <x v="4"/>
    <s v="Zomato"/>
    <n v="300"/>
    <x v="49"/>
  </r>
  <r>
    <x v="50"/>
    <x v="50"/>
    <x v="5"/>
    <s v="Swiggy"/>
    <n v="490"/>
    <x v="50"/>
  </r>
  <r>
    <x v="51"/>
    <x v="51"/>
    <x v="6"/>
    <s v="Uber Eats"/>
    <n v="420"/>
    <x v="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F86042-F258-4F9B-A402-982D6B3D3C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10">
    <pivotField showAll="0"/>
    <pivotField showAll="0"/>
    <pivotField showAll="0"/>
    <pivotField showAll="0"/>
    <pivotField dataField="1" showAll="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5">
        <item x="0"/>
        <item x="1"/>
        <item x="2"/>
        <item x="3"/>
        <item t="default"/>
      </items>
    </pivotField>
    <pivotField dragToRow="0" dragToCol="0" dragToPage="0" showAll="0" defaultSubtotal="0"/>
  </pivotFields>
  <rowFields count="2">
    <field x="8"/>
    <field x="6"/>
  </rowFields>
  <rowItems count="15">
    <i>
      <x v="1"/>
    </i>
    <i r="1">
      <x v="4"/>
    </i>
    <i r="1">
      <x v="5"/>
    </i>
    <i r="1">
      <x v="6"/>
    </i>
    <i r="1">
      <x v="7"/>
    </i>
    <i r="1">
      <x v="8"/>
    </i>
    <i r="1">
      <x v="9"/>
    </i>
    <i r="1">
      <x v="10"/>
    </i>
    <i r="1">
      <x v="11"/>
    </i>
    <i r="1">
      <x v="12"/>
    </i>
    <i>
      <x v="2"/>
    </i>
    <i r="1">
      <x v="1"/>
    </i>
    <i r="1">
      <x v="2"/>
    </i>
    <i r="1">
      <x v="3"/>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969265-7CF0-4F30-9A9E-7E4203956A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7" firstHeaderRow="1" firstDataRow="1" firstDataCol="1"/>
  <pivotFields count="10">
    <pivotField showAll="0"/>
    <pivotField showAll="0"/>
    <pivotField showAll="0"/>
    <pivotField showAll="0"/>
    <pivotField dataField="1" showAll="0"/>
    <pivotField axis="axisRow"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15">
        <item x="0"/>
        <item x="1"/>
        <item x="2"/>
        <item x="3"/>
        <item x="4"/>
        <item x="5"/>
        <item x="6"/>
        <item x="7"/>
        <item x="8"/>
        <item x="9"/>
        <item x="10"/>
        <item x="11"/>
        <item x="12"/>
        <item x="13"/>
        <item t="default"/>
      </items>
    </pivotField>
    <pivotField axis="axisRow" showAll="0">
      <items count="7">
        <item x="0"/>
        <item sd="0" x="1"/>
        <item sd="0" x="2"/>
        <item sd="0" x="3"/>
        <item sd="0" x="4"/>
        <item x="5"/>
        <item t="default"/>
      </items>
    </pivotField>
    <pivotField showAll="0">
      <items count="5">
        <item x="0"/>
        <item x="1"/>
        <item x="2"/>
        <item x="3"/>
        <item t="default"/>
      </items>
    </pivotField>
    <pivotField dragToRow="0" dragToCol="0" dragToPage="0" showAll="0" defaultSubtotal="0"/>
  </pivotFields>
  <rowFields count="2">
    <field x="7"/>
    <field x="5"/>
  </rowFields>
  <rowItems count="5">
    <i>
      <x v="1"/>
    </i>
    <i>
      <x v="2"/>
    </i>
    <i>
      <x v="3"/>
    </i>
    <i>
      <x v="4"/>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DA664F-BBB6-4CDB-A4C6-4974AE1B3E01}"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C15" firstHeaderRow="0" firstDataRow="1" firstDataCol="1"/>
  <pivotFields count="10">
    <pivotField dataField="1" compact="0" outline="0" showAll="0"/>
    <pivotField compact="0" outline="0" showAll="0"/>
    <pivotField compact="0" outline="0" showAll="0"/>
    <pivotField compact="0" outline="0" showAll="0"/>
    <pivotField dataField="1" compact="0" outline="0" showAll="0"/>
    <pivotField compact="0" outline="0"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 compact="0" outline="0" dragToRow="0" dragToCol="0" dragToPage="0" showAll="0" defaultSubtotal="0"/>
  </pivotFields>
  <rowFields count="1">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Amount" fld="4" baseField="0" baseItem="0" numFmtId="170"/>
    <dataField name="Count of Order ID" fld="0" subtotal="count" baseField="6" baseItem="1" numFmtId="1"/>
  </dataFields>
  <formats count="2">
    <format dxfId="9">
      <pivotArea outline="0" fieldPosition="0">
        <references count="1">
          <reference field="4294967294" count="1" selected="0">
            <x v="1"/>
          </reference>
        </references>
      </pivotArea>
    </format>
    <format dxfId="1">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CF220A-5277-4580-9FE4-DD7E1110E1A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0">
    <pivotField showAll="0"/>
    <pivotField showAll="0">
      <items count="53">
        <item x="48"/>
        <item x="21"/>
        <item x="5"/>
        <item x="3"/>
        <item x="51"/>
        <item x="24"/>
        <item x="34"/>
        <item x="7"/>
        <item x="16"/>
        <item x="32"/>
        <item x="50"/>
        <item x="23"/>
        <item x="43"/>
        <item x="1"/>
        <item x="19"/>
        <item x="46"/>
        <item x="6"/>
        <item x="33"/>
        <item x="20"/>
        <item x="47"/>
        <item x="44"/>
        <item x="17"/>
        <item x="39"/>
        <item x="12"/>
        <item x="28"/>
        <item x="41"/>
        <item x="30"/>
        <item x="14"/>
        <item x="25"/>
        <item x="9"/>
        <item x="36"/>
        <item x="2"/>
        <item x="42"/>
        <item x="15"/>
        <item x="31"/>
        <item x="29"/>
        <item x="40"/>
        <item x="13"/>
        <item x="0"/>
        <item x="26"/>
        <item x="37"/>
        <item x="10"/>
        <item x="45"/>
        <item x="18"/>
        <item x="35"/>
        <item x="8"/>
        <item x="22"/>
        <item x="4"/>
        <item x="49"/>
        <item x="11"/>
        <item x="38"/>
        <item x="27"/>
        <item t="default"/>
      </items>
    </pivotField>
    <pivotField showAll="0">
      <items count="10">
        <item x="7"/>
        <item h="1" x="2"/>
        <item h="1" x="5"/>
        <item h="1" x="1"/>
        <item h="1" x="3"/>
        <item h="1" x="8"/>
        <item h="1" x="6"/>
        <item h="1" x="0"/>
        <item h="1" x="4"/>
        <item t="default"/>
      </items>
    </pivotField>
    <pivotField showAll="0"/>
    <pivotField dataField="1" showAll="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5">
        <item x="0"/>
        <item x="1"/>
        <item x="2"/>
        <item x="3"/>
        <item t="default"/>
      </items>
    </pivotField>
    <pivotField dragToRow="0" dragToCol="0" dragToPage="0" showAll="0" defaultSubtotal="0"/>
  </pivotFields>
  <rowFields count="2">
    <field x="8"/>
    <field x="6"/>
  </rowFields>
  <rowItems count="8">
    <i>
      <x v="1"/>
    </i>
    <i r="1">
      <x v="5"/>
    </i>
    <i r="1">
      <x v="8"/>
    </i>
    <i r="1">
      <x v="10"/>
    </i>
    <i r="1">
      <x v="12"/>
    </i>
    <i>
      <x v="2"/>
    </i>
    <i r="1">
      <x v="2"/>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4B6FB5-A2AE-4DFA-A711-3321EE5CD86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23" firstHeaderRow="1" firstDataRow="1" firstDataCol="1"/>
  <pivotFields count="1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53">
        <item x="48"/>
        <item x="21"/>
        <item x="5"/>
        <item x="3"/>
        <item x="51"/>
        <item x="24"/>
        <item x="34"/>
        <item x="7"/>
        <item x="16"/>
        <item x="32"/>
        <item x="50"/>
        <item x="23"/>
        <item x="43"/>
        <item x="1"/>
        <item x="19"/>
        <item x="46"/>
        <item x="6"/>
        <item x="33"/>
        <item x="20"/>
        <item x="47"/>
        <item x="44"/>
        <item x="17"/>
        <item x="39"/>
        <item x="12"/>
        <item x="28"/>
        <item x="41"/>
        <item x="30"/>
        <item x="14"/>
        <item x="25"/>
        <item x="9"/>
        <item x="36"/>
        <item x="2"/>
        <item x="42"/>
        <item x="15"/>
        <item x="31"/>
        <item x="29"/>
        <item x="40"/>
        <item x="13"/>
        <item x="0"/>
        <item x="26"/>
        <item x="37"/>
        <item x="10"/>
        <item x="45"/>
        <item x="18"/>
        <item x="35"/>
        <item x="8"/>
        <item x="22"/>
        <item x="4"/>
        <item x="49"/>
        <item x="11"/>
        <item x="38"/>
        <item x="27"/>
        <item t="default"/>
      </items>
    </pivotField>
    <pivotField showAll="0">
      <items count="10">
        <item x="7"/>
        <item x="2"/>
        <item x="5"/>
        <item x="1"/>
        <item x="3"/>
        <item x="8"/>
        <item x="6"/>
        <item x="0"/>
        <item x="4"/>
        <item t="default"/>
      </items>
    </pivotField>
    <pivotField showAll="0"/>
    <pivotField dataField="1" showAll="0"/>
    <pivotField axis="axisRow"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15">
        <item x="0"/>
        <item x="1"/>
        <item x="2"/>
        <item x="3"/>
        <item x="4"/>
        <item x="5"/>
        <item x="6"/>
        <item x="7"/>
        <item x="8"/>
        <item x="9"/>
        <item x="10"/>
        <item x="11"/>
        <item x="12"/>
        <item x="13"/>
        <item t="default"/>
      </items>
    </pivotField>
    <pivotField axis="axisRow" showAll="0">
      <items count="7">
        <item x="0"/>
        <item x="1"/>
        <item sd="0" x="2"/>
        <item sd="0" x="3"/>
        <item sd="0" x="4"/>
        <item x="5"/>
        <item t="default"/>
      </items>
    </pivotField>
    <pivotField showAll="0">
      <items count="5">
        <item x="0"/>
        <item x="1"/>
        <item x="2"/>
        <item x="3"/>
        <item t="default"/>
      </items>
    </pivotField>
    <pivotField dragToRow="0" dragToCol="0" dragToPage="0" showAll="0" defaultSubtotal="0"/>
  </pivotFields>
  <rowFields count="2">
    <field x="7"/>
    <field x="5"/>
  </rowFields>
  <rowItems count="21">
    <i>
      <x v="1"/>
    </i>
    <i r="1">
      <x v="36"/>
    </i>
    <i r="1">
      <x v="37"/>
    </i>
    <i r="1">
      <x v="38"/>
    </i>
    <i r="1">
      <x v="39"/>
    </i>
    <i r="1">
      <x v="40"/>
    </i>
    <i r="1">
      <x v="41"/>
    </i>
    <i r="1">
      <x v="42"/>
    </i>
    <i r="1">
      <x v="43"/>
    </i>
    <i r="1">
      <x v="44"/>
    </i>
    <i r="1">
      <x v="45"/>
    </i>
    <i r="1">
      <x v="46"/>
    </i>
    <i r="1">
      <x v="47"/>
    </i>
    <i r="1">
      <x v="48"/>
    </i>
    <i r="1">
      <x v="49"/>
    </i>
    <i r="1">
      <x v="50"/>
    </i>
    <i r="1">
      <x v="51"/>
    </i>
    <i>
      <x v="2"/>
    </i>
    <i>
      <x v="3"/>
    </i>
    <i>
      <x v="4"/>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56BA0214-B6D6-4242-8130-A40E446B1915}" sourceName="Restaurant">
  <pivotTables>
    <pivotTable tabId="5" name="PivotTable5"/>
  </pivotTables>
  <data>
    <tabular pivotCacheId="498372654">
      <items count="52">
        <i x="34" s="1"/>
        <i x="7" s="1"/>
        <i x="16" s="1"/>
        <i x="43" s="1"/>
        <i x="25" s="1"/>
        <i x="48" s="1" nd="1"/>
        <i x="21" s="1" nd="1"/>
        <i x="5" s="1" nd="1"/>
        <i x="3" s="1" nd="1"/>
        <i x="51" s="1" nd="1"/>
        <i x="24" s="1" nd="1"/>
        <i x="32" s="1" nd="1"/>
        <i x="50" s="1" nd="1"/>
        <i x="23" s="1" nd="1"/>
        <i x="1" s="1" nd="1"/>
        <i x="19" s="1" nd="1"/>
        <i x="46" s="1" nd="1"/>
        <i x="6" s="1" nd="1"/>
        <i x="33" s="1" nd="1"/>
        <i x="20" s="1" nd="1"/>
        <i x="47" s="1" nd="1"/>
        <i x="44" s="1" nd="1"/>
        <i x="17" s="1" nd="1"/>
        <i x="39" s="1" nd="1"/>
        <i x="12" s="1" nd="1"/>
        <i x="28" s="1" nd="1"/>
        <i x="41" s="1" nd="1"/>
        <i x="30" s="1" nd="1"/>
        <i x="14" s="1" nd="1"/>
        <i x="9" s="1" nd="1"/>
        <i x="36" s="1" nd="1"/>
        <i x="2" s="1" nd="1"/>
        <i x="42" s="1" nd="1"/>
        <i x="15" s="1" nd="1"/>
        <i x="31" s="1" nd="1"/>
        <i x="29" s="1" nd="1"/>
        <i x="40" s="1" nd="1"/>
        <i x="13" s="1" nd="1"/>
        <i x="0" s="1" nd="1"/>
        <i x="26" s="1" nd="1"/>
        <i x="37" s="1" nd="1"/>
        <i x="10" s="1" nd="1"/>
        <i x="45" s="1" nd="1"/>
        <i x="18" s="1" nd="1"/>
        <i x="35" s="1" nd="1"/>
        <i x="8" s="1" nd="1"/>
        <i x="22" s="1" nd="1"/>
        <i x="4" s="1" nd="1"/>
        <i x="49" s="1" nd="1"/>
        <i x="11" s="1" nd="1"/>
        <i x="38" s="1" nd="1"/>
        <i x="2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459A9C2-37FF-444C-A0EC-4E6C38E2104E}" sourceName="City">
  <pivotTables>
    <pivotTable tabId="5" name="PivotTable5"/>
  </pivotTables>
  <data>
    <tabular pivotCacheId="498372654">
      <items count="9">
        <i x="7" s="1"/>
        <i x="2"/>
        <i x="5"/>
        <i x="1"/>
        <i x="3"/>
        <i x="8"/>
        <i x="6"/>
        <i x="0"/>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xr10:uid="{708CA72B-BB1A-4655-94BE-F7C24F4C7F98}" cache="Slicer_Restaurant" caption="Restaurant" rowHeight="241300"/>
  <slicer name="City" xr10:uid="{0EFBA6CA-C14D-4513-98A1-42923E3A1AA0}" cache="Slicer_City" caption="Cit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AB3C4-063D-468A-8131-76389F29D769}">
  <dimension ref="A3:B18"/>
  <sheetViews>
    <sheetView tabSelected="1" workbookViewId="0">
      <selection activeCell="C13" sqref="C13"/>
    </sheetView>
  </sheetViews>
  <sheetFormatPr defaultRowHeight="15" x14ac:dyDescent="0.25"/>
  <cols>
    <col min="1" max="1" width="13.140625" bestFit="1" customWidth="1"/>
    <col min="2" max="2" width="14.85546875" bestFit="1" customWidth="1"/>
  </cols>
  <sheetData>
    <row r="3" spans="1:2" x14ac:dyDescent="0.25">
      <c r="A3" s="7" t="s">
        <v>71</v>
      </c>
      <c r="B3" t="s">
        <v>70</v>
      </c>
    </row>
    <row r="4" spans="1:2" x14ac:dyDescent="0.25">
      <c r="A4" s="8" t="s">
        <v>73</v>
      </c>
      <c r="B4">
        <v>17440</v>
      </c>
    </row>
    <row r="5" spans="1:2" x14ac:dyDescent="0.25">
      <c r="A5" s="9" t="s">
        <v>75</v>
      </c>
      <c r="B5">
        <v>1920</v>
      </c>
    </row>
    <row r="6" spans="1:2" x14ac:dyDescent="0.25">
      <c r="A6" s="9" t="s">
        <v>76</v>
      </c>
      <c r="B6">
        <v>1820</v>
      </c>
    </row>
    <row r="7" spans="1:2" x14ac:dyDescent="0.25">
      <c r="A7" s="9" t="s">
        <v>78</v>
      </c>
      <c r="B7">
        <v>2180</v>
      </c>
    </row>
    <row r="8" spans="1:2" x14ac:dyDescent="0.25">
      <c r="A8" s="9" t="s">
        <v>79</v>
      </c>
      <c r="B8">
        <v>1870</v>
      </c>
    </row>
    <row r="9" spans="1:2" x14ac:dyDescent="0.25">
      <c r="A9" s="9" t="s">
        <v>80</v>
      </c>
      <c r="B9">
        <v>2130</v>
      </c>
    </row>
    <row r="10" spans="1:2" x14ac:dyDescent="0.25">
      <c r="A10" s="9" t="s">
        <v>81</v>
      </c>
      <c r="B10">
        <v>1810</v>
      </c>
    </row>
    <row r="11" spans="1:2" x14ac:dyDescent="0.25">
      <c r="A11" s="9" t="s">
        <v>82</v>
      </c>
      <c r="B11">
        <v>2030</v>
      </c>
    </row>
    <row r="12" spans="1:2" x14ac:dyDescent="0.25">
      <c r="A12" s="9" t="s">
        <v>83</v>
      </c>
      <c r="B12">
        <v>1900</v>
      </c>
    </row>
    <row r="13" spans="1:2" x14ac:dyDescent="0.25">
      <c r="A13" s="9" t="s">
        <v>84</v>
      </c>
      <c r="B13">
        <v>1780</v>
      </c>
    </row>
    <row r="14" spans="1:2" x14ac:dyDescent="0.25">
      <c r="A14" s="8" t="s">
        <v>74</v>
      </c>
      <c r="B14">
        <v>8070</v>
      </c>
    </row>
    <row r="15" spans="1:2" x14ac:dyDescent="0.25">
      <c r="A15" s="9" t="s">
        <v>85</v>
      </c>
      <c r="B15">
        <v>2250</v>
      </c>
    </row>
    <row r="16" spans="1:2" x14ac:dyDescent="0.25">
      <c r="A16" s="9" t="s">
        <v>86</v>
      </c>
      <c r="B16">
        <v>1740</v>
      </c>
    </row>
    <row r="17" spans="1:2" x14ac:dyDescent="0.25">
      <c r="A17" s="9" t="s">
        <v>77</v>
      </c>
      <c r="B17">
        <v>4080</v>
      </c>
    </row>
    <row r="18" spans="1:2" x14ac:dyDescent="0.25">
      <c r="A18" s="8" t="s">
        <v>72</v>
      </c>
      <c r="B18">
        <v>25510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CF312-4BD4-4AD7-BDEF-AEABF784C40C}">
  <dimension ref="A2:B7"/>
  <sheetViews>
    <sheetView workbookViewId="0">
      <selection activeCell="B15" sqref="B15"/>
    </sheetView>
  </sheetViews>
  <sheetFormatPr defaultRowHeight="15" x14ac:dyDescent="0.25"/>
  <cols>
    <col min="1" max="1" width="13.140625" bestFit="1" customWidth="1"/>
    <col min="2" max="2" width="14.85546875" bestFit="1" customWidth="1"/>
  </cols>
  <sheetData>
    <row r="2" spans="1:2" x14ac:dyDescent="0.25">
      <c r="A2" s="7" t="s">
        <v>71</v>
      </c>
      <c r="B2" t="s">
        <v>70</v>
      </c>
    </row>
    <row r="3" spans="1:2" x14ac:dyDescent="0.25">
      <c r="A3" s="8" t="s">
        <v>87</v>
      </c>
      <c r="B3">
        <v>8070</v>
      </c>
    </row>
    <row r="4" spans="1:2" x14ac:dyDescent="0.25">
      <c r="A4" s="8" t="s">
        <v>88</v>
      </c>
      <c r="B4">
        <v>5920</v>
      </c>
    </row>
    <row r="5" spans="1:2" x14ac:dyDescent="0.25">
      <c r="A5" s="8" t="s">
        <v>89</v>
      </c>
      <c r="B5">
        <v>5810</v>
      </c>
    </row>
    <row r="6" spans="1:2" x14ac:dyDescent="0.25">
      <c r="A6" s="8" t="s">
        <v>90</v>
      </c>
      <c r="B6">
        <v>5710</v>
      </c>
    </row>
    <row r="7" spans="1:2" x14ac:dyDescent="0.25">
      <c r="A7" s="8" t="s">
        <v>72</v>
      </c>
      <c r="B7">
        <v>25510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938D6-2CF7-479F-824C-ABB64CF24470}">
  <dimension ref="A2:D15"/>
  <sheetViews>
    <sheetView workbookViewId="0">
      <selection activeCell="F6" sqref="F6"/>
    </sheetView>
  </sheetViews>
  <sheetFormatPr defaultRowHeight="15" x14ac:dyDescent="0.25"/>
  <cols>
    <col min="1" max="1" width="22" bestFit="1" customWidth="1"/>
    <col min="2" max="2" width="14.85546875" bestFit="1" customWidth="1"/>
    <col min="3" max="3" width="16.5703125" bestFit="1" customWidth="1"/>
    <col min="4" max="4" width="19.42578125" bestFit="1" customWidth="1"/>
    <col min="5" max="5" width="14.85546875" bestFit="1" customWidth="1"/>
    <col min="6" max="6" width="18.28515625" bestFit="1" customWidth="1"/>
  </cols>
  <sheetData>
    <row r="2" spans="1:4" x14ac:dyDescent="0.25">
      <c r="A2" s="7" t="s">
        <v>92</v>
      </c>
      <c r="B2" t="s">
        <v>70</v>
      </c>
      <c r="C2" t="s">
        <v>91</v>
      </c>
      <c r="D2" s="20" t="s">
        <v>94</v>
      </c>
    </row>
    <row r="3" spans="1:4" x14ac:dyDescent="0.25">
      <c r="A3" t="s">
        <v>85</v>
      </c>
      <c r="B3" s="22">
        <v>2250</v>
      </c>
      <c r="C3" s="21">
        <v>4</v>
      </c>
      <c r="D3" s="23">
        <f>B3/C3</f>
        <v>562.5</v>
      </c>
    </row>
    <row r="4" spans="1:4" x14ac:dyDescent="0.25">
      <c r="A4" t="s">
        <v>86</v>
      </c>
      <c r="B4" s="22">
        <v>1740</v>
      </c>
      <c r="C4" s="21">
        <v>4</v>
      </c>
      <c r="D4" s="23">
        <f t="shared" ref="D4:D15" si="0">B4/C4</f>
        <v>435</v>
      </c>
    </row>
    <row r="5" spans="1:4" x14ac:dyDescent="0.25">
      <c r="A5" t="s">
        <v>77</v>
      </c>
      <c r="B5" s="22">
        <v>4080</v>
      </c>
      <c r="C5" s="21">
        <v>8</v>
      </c>
      <c r="D5" s="23">
        <f t="shared" si="0"/>
        <v>510</v>
      </c>
    </row>
    <row r="6" spans="1:4" x14ac:dyDescent="0.25">
      <c r="A6" t="s">
        <v>75</v>
      </c>
      <c r="B6" s="22">
        <v>1920</v>
      </c>
      <c r="C6" s="21">
        <v>4</v>
      </c>
      <c r="D6" s="23">
        <f t="shared" si="0"/>
        <v>480</v>
      </c>
    </row>
    <row r="7" spans="1:4" x14ac:dyDescent="0.25">
      <c r="A7" t="s">
        <v>76</v>
      </c>
      <c r="B7" s="22">
        <v>1820</v>
      </c>
      <c r="C7" s="21">
        <v>4</v>
      </c>
      <c r="D7" s="23">
        <f t="shared" si="0"/>
        <v>455</v>
      </c>
    </row>
    <row r="8" spans="1:4" x14ac:dyDescent="0.25">
      <c r="A8" t="s">
        <v>78</v>
      </c>
      <c r="B8" s="22">
        <v>2180</v>
      </c>
      <c r="C8" s="21">
        <v>4</v>
      </c>
      <c r="D8" s="23">
        <f t="shared" si="0"/>
        <v>545</v>
      </c>
    </row>
    <row r="9" spans="1:4" x14ac:dyDescent="0.25">
      <c r="A9" t="s">
        <v>79</v>
      </c>
      <c r="B9" s="22">
        <v>1870</v>
      </c>
      <c r="C9" s="21">
        <v>4</v>
      </c>
      <c r="D9" s="23">
        <f t="shared" si="0"/>
        <v>467.5</v>
      </c>
    </row>
    <row r="10" spans="1:4" x14ac:dyDescent="0.25">
      <c r="A10" t="s">
        <v>80</v>
      </c>
      <c r="B10" s="22">
        <v>2130</v>
      </c>
      <c r="C10" s="21">
        <v>4</v>
      </c>
      <c r="D10" s="23">
        <f t="shared" si="0"/>
        <v>532.5</v>
      </c>
    </row>
    <row r="11" spans="1:4" x14ac:dyDescent="0.25">
      <c r="A11" t="s">
        <v>81</v>
      </c>
      <c r="B11" s="22">
        <v>1810</v>
      </c>
      <c r="C11" s="21">
        <v>4</v>
      </c>
      <c r="D11" s="23">
        <f t="shared" si="0"/>
        <v>452.5</v>
      </c>
    </row>
    <row r="12" spans="1:4" x14ac:dyDescent="0.25">
      <c r="A12" t="s">
        <v>82</v>
      </c>
      <c r="B12" s="22">
        <v>2030</v>
      </c>
      <c r="C12" s="21">
        <v>4</v>
      </c>
      <c r="D12" s="23">
        <f t="shared" si="0"/>
        <v>507.5</v>
      </c>
    </row>
    <row r="13" spans="1:4" x14ac:dyDescent="0.25">
      <c r="A13" t="s">
        <v>83</v>
      </c>
      <c r="B13" s="22">
        <v>1900</v>
      </c>
      <c r="C13" s="21">
        <v>4</v>
      </c>
      <c r="D13" s="23">
        <f t="shared" si="0"/>
        <v>475</v>
      </c>
    </row>
    <row r="14" spans="1:4" x14ac:dyDescent="0.25">
      <c r="A14" t="s">
        <v>84</v>
      </c>
      <c r="B14" s="22">
        <v>1780</v>
      </c>
      <c r="C14" s="21">
        <v>4</v>
      </c>
      <c r="D14" s="23">
        <f t="shared" si="0"/>
        <v>445</v>
      </c>
    </row>
    <row r="15" spans="1:4" x14ac:dyDescent="0.25">
      <c r="A15" t="s">
        <v>72</v>
      </c>
      <c r="B15" s="22">
        <v>25510</v>
      </c>
      <c r="C15" s="21">
        <v>52</v>
      </c>
      <c r="D15" s="24">
        <f t="shared" si="0"/>
        <v>490.57692307692309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DE67F-FDCA-413F-B808-C1E9BDAF917A}">
  <dimension ref="A3:B11"/>
  <sheetViews>
    <sheetView workbookViewId="0">
      <selection activeCell="L9" sqref="L9"/>
    </sheetView>
  </sheetViews>
  <sheetFormatPr defaultRowHeight="15" x14ac:dyDescent="0.25"/>
  <cols>
    <col min="1" max="1" width="13.140625" bestFit="1" customWidth="1"/>
    <col min="2" max="2" width="14.85546875" bestFit="1" customWidth="1"/>
  </cols>
  <sheetData>
    <row r="3" spans="1:2" x14ac:dyDescent="0.25">
      <c r="A3" s="7" t="s">
        <v>71</v>
      </c>
      <c r="B3" t="s">
        <v>70</v>
      </c>
    </row>
    <row r="4" spans="1:2" x14ac:dyDescent="0.25">
      <c r="A4" s="8" t="s">
        <v>73</v>
      </c>
      <c r="B4">
        <v>1520</v>
      </c>
    </row>
    <row r="5" spans="1:2" x14ac:dyDescent="0.25">
      <c r="A5" s="9" t="s">
        <v>76</v>
      </c>
      <c r="B5">
        <v>390</v>
      </c>
    </row>
    <row r="6" spans="1:2" x14ac:dyDescent="0.25">
      <c r="A6" s="9" t="s">
        <v>80</v>
      </c>
      <c r="B6">
        <v>370</v>
      </c>
    </row>
    <row r="7" spans="1:2" x14ac:dyDescent="0.25">
      <c r="A7" s="9" t="s">
        <v>82</v>
      </c>
      <c r="B7">
        <v>360</v>
      </c>
    </row>
    <row r="8" spans="1:2" x14ac:dyDescent="0.25">
      <c r="A8" s="9" t="s">
        <v>84</v>
      </c>
      <c r="B8">
        <v>400</v>
      </c>
    </row>
    <row r="9" spans="1:2" x14ac:dyDescent="0.25">
      <c r="A9" s="8" t="s">
        <v>74</v>
      </c>
      <c r="B9">
        <v>380</v>
      </c>
    </row>
    <row r="10" spans="1:2" x14ac:dyDescent="0.25">
      <c r="A10" s="9" t="s">
        <v>86</v>
      </c>
      <c r="B10">
        <v>380</v>
      </c>
    </row>
    <row r="11" spans="1:2" x14ac:dyDescent="0.25">
      <c r="A11" s="8" t="s">
        <v>72</v>
      </c>
      <c r="B11">
        <v>1900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5DA06-6FF7-45A1-B6CC-5F7D62E8BE3D}">
  <dimension ref="A2:K23"/>
  <sheetViews>
    <sheetView workbookViewId="0">
      <selection activeCell="F11" sqref="F11"/>
    </sheetView>
  </sheetViews>
  <sheetFormatPr defaultRowHeight="15" x14ac:dyDescent="0.25"/>
  <cols>
    <col min="1" max="1" width="14.140625" bestFit="1" customWidth="1"/>
    <col min="2" max="2" width="14.85546875" bestFit="1" customWidth="1"/>
    <col min="3" max="3" width="16.5703125" bestFit="1" customWidth="1"/>
  </cols>
  <sheetData>
    <row r="2" spans="1:11" x14ac:dyDescent="0.25">
      <c r="A2" s="7" t="s">
        <v>71</v>
      </c>
      <c r="B2" t="s">
        <v>70</v>
      </c>
    </row>
    <row r="3" spans="1:11" ht="15.75" thickBot="1" x14ac:dyDescent="0.3">
      <c r="A3" s="8" t="s">
        <v>87</v>
      </c>
      <c r="B3">
        <v>8070</v>
      </c>
    </row>
    <row r="4" spans="1:11" x14ac:dyDescent="0.25">
      <c r="A4" s="10">
        <v>46027</v>
      </c>
      <c r="B4">
        <v>490</v>
      </c>
      <c r="D4" s="11" t="s">
        <v>93</v>
      </c>
      <c r="E4" s="12"/>
      <c r="F4" s="12"/>
      <c r="G4" s="12"/>
      <c r="H4" s="12"/>
      <c r="I4" s="12"/>
      <c r="J4" s="12"/>
      <c r="K4" s="13"/>
    </row>
    <row r="5" spans="1:11" x14ac:dyDescent="0.25">
      <c r="A5" s="10">
        <v>46034</v>
      </c>
      <c r="B5">
        <v>870</v>
      </c>
      <c r="D5" s="14"/>
      <c r="E5" s="15"/>
      <c r="F5" s="15"/>
      <c r="G5" s="15"/>
      <c r="H5" s="15"/>
      <c r="I5" s="15"/>
      <c r="J5" s="15"/>
      <c r="K5" s="16"/>
    </row>
    <row r="6" spans="1:11" x14ac:dyDescent="0.25">
      <c r="A6" s="10">
        <v>46042</v>
      </c>
      <c r="B6">
        <v>310</v>
      </c>
      <c r="D6" s="14"/>
      <c r="E6" s="15"/>
      <c r="F6" s="15"/>
      <c r="G6" s="15"/>
      <c r="H6" s="15"/>
      <c r="I6" s="15"/>
      <c r="J6" s="15"/>
      <c r="K6" s="16"/>
    </row>
    <row r="7" spans="1:11" ht="15.75" thickBot="1" x14ac:dyDescent="0.3">
      <c r="A7" s="10">
        <v>46050</v>
      </c>
      <c r="B7">
        <v>580</v>
      </c>
      <c r="D7" s="17"/>
      <c r="E7" s="18"/>
      <c r="F7" s="18"/>
      <c r="G7" s="18"/>
      <c r="H7" s="18"/>
      <c r="I7" s="18"/>
      <c r="J7" s="18"/>
      <c r="K7" s="19"/>
    </row>
    <row r="8" spans="1:11" x14ac:dyDescent="0.25">
      <c r="A8" s="10">
        <v>46056</v>
      </c>
      <c r="B8">
        <v>270</v>
      </c>
    </row>
    <row r="9" spans="1:11" x14ac:dyDescent="0.25">
      <c r="A9" s="10">
        <v>46065</v>
      </c>
      <c r="B9">
        <v>440</v>
      </c>
    </row>
    <row r="10" spans="1:11" x14ac:dyDescent="0.25">
      <c r="A10" s="10">
        <v>46073</v>
      </c>
      <c r="B10">
        <v>650</v>
      </c>
    </row>
    <row r="11" spans="1:11" x14ac:dyDescent="0.25">
      <c r="A11" s="10">
        <v>46081</v>
      </c>
      <c r="B11">
        <v>380</v>
      </c>
    </row>
    <row r="12" spans="1:11" x14ac:dyDescent="0.25">
      <c r="A12" s="10">
        <v>46086</v>
      </c>
      <c r="B12">
        <v>800</v>
      </c>
    </row>
    <row r="13" spans="1:11" x14ac:dyDescent="0.25">
      <c r="A13" s="10">
        <v>46093</v>
      </c>
      <c r="B13">
        <v>540</v>
      </c>
    </row>
    <row r="14" spans="1:11" x14ac:dyDescent="0.25">
      <c r="A14" s="10">
        <v>46101</v>
      </c>
      <c r="B14">
        <v>470</v>
      </c>
    </row>
    <row r="15" spans="1:11" x14ac:dyDescent="0.25">
      <c r="A15" s="10">
        <v>46106</v>
      </c>
      <c r="B15">
        <v>340</v>
      </c>
    </row>
    <row r="16" spans="1:11" x14ac:dyDescent="0.25">
      <c r="A16" s="10">
        <v>46109</v>
      </c>
      <c r="B16">
        <v>720</v>
      </c>
    </row>
    <row r="17" spans="1:2" x14ac:dyDescent="0.25">
      <c r="A17" s="10">
        <v>46110</v>
      </c>
      <c r="B17">
        <v>300</v>
      </c>
    </row>
    <row r="18" spans="1:2" x14ac:dyDescent="0.25">
      <c r="A18" s="10">
        <v>46111</v>
      </c>
      <c r="B18">
        <v>490</v>
      </c>
    </row>
    <row r="19" spans="1:2" x14ac:dyDescent="0.25">
      <c r="A19" s="10">
        <v>46112</v>
      </c>
      <c r="B19">
        <v>420</v>
      </c>
    </row>
    <row r="20" spans="1:2" x14ac:dyDescent="0.25">
      <c r="A20" s="8" t="s">
        <v>88</v>
      </c>
      <c r="B20">
        <v>5920</v>
      </c>
    </row>
    <row r="21" spans="1:2" x14ac:dyDescent="0.25">
      <c r="A21" s="8" t="s">
        <v>89</v>
      </c>
      <c r="B21">
        <v>5810</v>
      </c>
    </row>
    <row r="22" spans="1:2" x14ac:dyDescent="0.25">
      <c r="A22" s="8" t="s">
        <v>90</v>
      </c>
      <c r="B22">
        <v>5710</v>
      </c>
    </row>
    <row r="23" spans="1:2" x14ac:dyDescent="0.25">
      <c r="A23" s="8" t="s">
        <v>72</v>
      </c>
      <c r="B23">
        <v>25510</v>
      </c>
    </row>
  </sheetData>
  <mergeCells count="1">
    <mergeCell ref="D4:K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54"/>
  <sheetViews>
    <sheetView workbookViewId="0">
      <selection sqref="A1:A1048576"/>
    </sheetView>
  </sheetViews>
  <sheetFormatPr defaultRowHeight="15" x14ac:dyDescent="0.25"/>
  <cols>
    <col min="1" max="1" width="8.42578125" bestFit="1" customWidth="1"/>
    <col min="2" max="2" width="15.42578125" bestFit="1" customWidth="1"/>
    <col min="3" max="3" width="11.7109375" bestFit="1" customWidth="1"/>
    <col min="4" max="4" width="15.5703125" bestFit="1" customWidth="1"/>
    <col min="5" max="5" width="8.140625" bestFit="1" customWidth="1"/>
    <col min="6" max="6" width="10.7109375" bestFit="1" customWidth="1"/>
    <col min="9" max="9" width="8.42578125" bestFit="1" customWidth="1"/>
    <col min="10" max="10" width="15.42578125" bestFit="1" customWidth="1"/>
    <col min="11" max="11" width="11.7109375" bestFit="1" customWidth="1"/>
    <col min="12" max="12" width="15.5703125" bestFit="1" customWidth="1"/>
    <col min="13" max="13" width="8.140625" bestFit="1" customWidth="1"/>
  </cols>
  <sheetData>
    <row r="2" spans="1:13" x14ac:dyDescent="0.25">
      <c r="A2" s="6" t="s">
        <v>0</v>
      </c>
      <c r="B2" s="6" t="s">
        <v>1</v>
      </c>
      <c r="C2" s="6" t="s">
        <v>2</v>
      </c>
      <c r="D2" s="6" t="s">
        <v>3</v>
      </c>
      <c r="E2" s="6" t="s">
        <v>4</v>
      </c>
      <c r="F2" s="3" t="s">
        <v>5</v>
      </c>
      <c r="I2" s="1"/>
      <c r="J2" s="1"/>
      <c r="K2" s="1"/>
      <c r="L2" s="1"/>
      <c r="M2" s="1"/>
    </row>
    <row r="3" spans="1:13" x14ac:dyDescent="0.25">
      <c r="A3" s="3">
        <v>1001</v>
      </c>
      <c r="B3" s="4" t="s">
        <v>6</v>
      </c>
      <c r="C3" s="4" t="s">
        <v>7</v>
      </c>
      <c r="D3" s="4" t="s">
        <v>8</v>
      </c>
      <c r="E3" s="4">
        <v>450</v>
      </c>
      <c r="F3" s="5">
        <v>45748</v>
      </c>
      <c r="I3" s="1"/>
      <c r="J3" s="2"/>
      <c r="K3" s="2"/>
      <c r="L3" s="2"/>
      <c r="M3" s="2"/>
    </row>
    <row r="4" spans="1:13" x14ac:dyDescent="0.25">
      <c r="A4" s="3">
        <v>1002</v>
      </c>
      <c r="B4" s="4" t="s">
        <v>9</v>
      </c>
      <c r="C4" s="4" t="s">
        <v>10</v>
      </c>
      <c r="D4" s="4" t="s">
        <v>11</v>
      </c>
      <c r="E4" s="4">
        <v>320</v>
      </c>
      <c r="F4" s="5">
        <v>45757</v>
      </c>
      <c r="I4" s="1"/>
      <c r="J4" s="2"/>
      <c r="K4" s="2"/>
      <c r="L4" s="2"/>
      <c r="M4" s="2"/>
    </row>
    <row r="5" spans="1:13" x14ac:dyDescent="0.25">
      <c r="A5" s="3">
        <v>1003</v>
      </c>
      <c r="B5" s="4" t="s">
        <v>12</v>
      </c>
      <c r="C5" s="4" t="s">
        <v>13</v>
      </c>
      <c r="D5" s="4" t="s">
        <v>14</v>
      </c>
      <c r="E5" s="4">
        <v>600</v>
      </c>
      <c r="F5" s="5">
        <v>45767</v>
      </c>
      <c r="I5" s="1"/>
      <c r="J5" s="2"/>
      <c r="K5" s="2"/>
      <c r="L5" s="2"/>
      <c r="M5" s="2"/>
    </row>
    <row r="6" spans="1:13" x14ac:dyDescent="0.25">
      <c r="A6" s="3">
        <v>1004</v>
      </c>
      <c r="B6" s="4" t="s">
        <v>15</v>
      </c>
      <c r="C6" s="4" t="s">
        <v>16</v>
      </c>
      <c r="D6" s="4" t="s">
        <v>8</v>
      </c>
      <c r="E6" s="4">
        <v>550</v>
      </c>
      <c r="F6" s="5">
        <v>45777</v>
      </c>
      <c r="I6" s="1"/>
      <c r="J6" s="2"/>
      <c r="K6" s="2"/>
      <c r="L6" s="2"/>
      <c r="M6" s="2"/>
    </row>
    <row r="7" spans="1:13" x14ac:dyDescent="0.25">
      <c r="A7" s="3">
        <v>1005</v>
      </c>
      <c r="B7" s="4" t="s">
        <v>17</v>
      </c>
      <c r="C7" s="4" t="s">
        <v>18</v>
      </c>
      <c r="D7" s="4" t="s">
        <v>11</v>
      </c>
      <c r="E7" s="4">
        <v>280</v>
      </c>
      <c r="F7" s="5">
        <v>45782</v>
      </c>
      <c r="I7" s="1"/>
      <c r="J7" s="2"/>
      <c r="K7" s="2"/>
      <c r="L7" s="2"/>
      <c r="M7" s="2"/>
    </row>
    <row r="8" spans="1:13" x14ac:dyDescent="0.25">
      <c r="A8" s="3">
        <v>1006</v>
      </c>
      <c r="B8" s="4" t="s">
        <v>19</v>
      </c>
      <c r="C8" s="4" t="s">
        <v>20</v>
      </c>
      <c r="D8" s="4" t="s">
        <v>8</v>
      </c>
      <c r="E8" s="4">
        <v>720</v>
      </c>
      <c r="F8" s="5">
        <v>45789</v>
      </c>
      <c r="I8" s="1"/>
      <c r="J8" s="2"/>
      <c r="K8" s="2"/>
      <c r="L8" s="2"/>
      <c r="M8" s="2"/>
    </row>
    <row r="9" spans="1:13" x14ac:dyDescent="0.25">
      <c r="A9" s="3">
        <v>1007</v>
      </c>
      <c r="B9" s="4" t="s">
        <v>21</v>
      </c>
      <c r="C9" s="4" t="s">
        <v>22</v>
      </c>
      <c r="D9" s="4" t="s">
        <v>14</v>
      </c>
      <c r="E9" s="4">
        <v>430</v>
      </c>
      <c r="F9" s="5">
        <v>45797</v>
      </c>
      <c r="I9" s="1"/>
      <c r="J9" s="2"/>
      <c r="K9" s="2"/>
      <c r="L9" s="2"/>
      <c r="M9" s="2"/>
    </row>
    <row r="10" spans="1:13" x14ac:dyDescent="0.25">
      <c r="A10" s="3">
        <v>1008</v>
      </c>
      <c r="B10" s="4" t="s">
        <v>23</v>
      </c>
      <c r="C10" s="4" t="s">
        <v>24</v>
      </c>
      <c r="D10" s="4" t="s">
        <v>11</v>
      </c>
      <c r="E10" s="4">
        <v>390</v>
      </c>
      <c r="F10" s="5">
        <v>45805</v>
      </c>
      <c r="I10" s="1"/>
      <c r="J10" s="2"/>
      <c r="K10" s="2"/>
      <c r="L10" s="2"/>
      <c r="M10" s="2"/>
    </row>
    <row r="11" spans="1:13" x14ac:dyDescent="0.25">
      <c r="A11" s="3">
        <v>1009</v>
      </c>
      <c r="B11" s="4" t="s">
        <v>25</v>
      </c>
      <c r="C11" s="4" t="s">
        <v>26</v>
      </c>
      <c r="D11" s="4" t="s">
        <v>8</v>
      </c>
      <c r="E11" s="4">
        <v>510</v>
      </c>
      <c r="F11" s="5">
        <v>45810</v>
      </c>
      <c r="I11" s="1"/>
      <c r="J11" s="2"/>
      <c r="K11" s="2"/>
      <c r="L11" s="2"/>
      <c r="M11" s="2"/>
    </row>
    <row r="12" spans="1:13" x14ac:dyDescent="0.25">
      <c r="A12" s="3">
        <v>1010</v>
      </c>
      <c r="B12" s="4" t="s">
        <v>27</v>
      </c>
      <c r="C12" s="4" t="s">
        <v>7</v>
      </c>
      <c r="D12" s="4" t="s">
        <v>14</v>
      </c>
      <c r="E12" s="4">
        <v>470</v>
      </c>
      <c r="F12" s="5">
        <v>45818</v>
      </c>
      <c r="I12" s="1"/>
      <c r="J12" s="2"/>
      <c r="K12" s="2"/>
      <c r="L12" s="2"/>
      <c r="M12" s="2"/>
    </row>
    <row r="13" spans="1:13" x14ac:dyDescent="0.25">
      <c r="A13" s="3">
        <v>1011</v>
      </c>
      <c r="B13" s="4" t="s">
        <v>28</v>
      </c>
      <c r="C13" s="4" t="s">
        <v>10</v>
      </c>
      <c r="D13" s="4" t="s">
        <v>11</v>
      </c>
      <c r="E13" s="4">
        <v>890</v>
      </c>
      <c r="F13" s="5">
        <v>45826</v>
      </c>
      <c r="I13" s="1"/>
      <c r="J13" s="2"/>
      <c r="K13" s="2"/>
      <c r="L13" s="2"/>
      <c r="M13" s="2"/>
    </row>
    <row r="14" spans="1:13" x14ac:dyDescent="0.25">
      <c r="A14" s="3">
        <v>1012</v>
      </c>
      <c r="B14" s="4" t="s">
        <v>29</v>
      </c>
      <c r="C14" s="4" t="s">
        <v>13</v>
      </c>
      <c r="D14" s="4" t="s">
        <v>8</v>
      </c>
      <c r="E14" s="4">
        <v>310</v>
      </c>
      <c r="F14" s="5">
        <v>45833</v>
      </c>
      <c r="I14" s="1"/>
      <c r="J14" s="2"/>
      <c r="K14" s="2"/>
      <c r="L14" s="2"/>
      <c r="M14" s="2"/>
    </row>
    <row r="15" spans="1:13" x14ac:dyDescent="0.25">
      <c r="A15" s="3">
        <v>1013</v>
      </c>
      <c r="B15" s="4" t="s">
        <v>30</v>
      </c>
      <c r="C15" s="4" t="s">
        <v>16</v>
      </c>
      <c r="D15" s="4" t="s">
        <v>14</v>
      </c>
      <c r="E15" s="4">
        <v>560</v>
      </c>
      <c r="F15" s="5">
        <v>45841</v>
      </c>
      <c r="I15" s="1"/>
      <c r="J15" s="2"/>
      <c r="K15" s="2"/>
      <c r="L15" s="2"/>
      <c r="M15" s="2"/>
    </row>
    <row r="16" spans="1:13" x14ac:dyDescent="0.25">
      <c r="A16" s="3">
        <v>1014</v>
      </c>
      <c r="B16" s="4" t="s">
        <v>31</v>
      </c>
      <c r="C16" s="4" t="s">
        <v>18</v>
      </c>
      <c r="D16" s="4" t="s">
        <v>11</v>
      </c>
      <c r="E16" s="4">
        <v>250</v>
      </c>
      <c r="F16" s="5">
        <v>45850</v>
      </c>
      <c r="I16" s="1"/>
      <c r="J16" s="2"/>
      <c r="K16" s="2"/>
      <c r="L16" s="2"/>
      <c r="M16" s="2"/>
    </row>
    <row r="17" spans="1:13" x14ac:dyDescent="0.25">
      <c r="A17" s="3">
        <v>1015</v>
      </c>
      <c r="B17" s="4" t="s">
        <v>32</v>
      </c>
      <c r="C17" s="4" t="s">
        <v>20</v>
      </c>
      <c r="D17" s="4" t="s">
        <v>8</v>
      </c>
      <c r="E17" s="4">
        <v>420</v>
      </c>
      <c r="F17" s="5">
        <v>45858</v>
      </c>
      <c r="I17" s="1"/>
      <c r="J17" s="2"/>
      <c r="K17" s="2"/>
      <c r="L17" s="2"/>
      <c r="M17" s="2"/>
    </row>
    <row r="18" spans="1:13" x14ac:dyDescent="0.25">
      <c r="A18" s="3">
        <v>1016</v>
      </c>
      <c r="B18" s="4" t="s">
        <v>33</v>
      </c>
      <c r="C18" s="4" t="s">
        <v>22</v>
      </c>
      <c r="D18" s="4" t="s">
        <v>14</v>
      </c>
      <c r="E18" s="4">
        <v>640</v>
      </c>
      <c r="F18" s="5">
        <v>45866</v>
      </c>
      <c r="I18" s="1"/>
      <c r="J18" s="2"/>
      <c r="K18" s="2"/>
      <c r="L18" s="2"/>
      <c r="M18" s="2"/>
    </row>
    <row r="19" spans="1:13" x14ac:dyDescent="0.25">
      <c r="A19" s="3">
        <v>1017</v>
      </c>
      <c r="B19" s="4" t="s">
        <v>34</v>
      </c>
      <c r="C19" s="4" t="s">
        <v>24</v>
      </c>
      <c r="D19" s="4" t="s">
        <v>11</v>
      </c>
      <c r="E19" s="4">
        <v>370</v>
      </c>
      <c r="F19" s="5">
        <v>45873</v>
      </c>
      <c r="I19" s="1"/>
      <c r="J19" s="2"/>
      <c r="K19" s="2"/>
      <c r="L19" s="2"/>
      <c r="M19" s="2"/>
    </row>
    <row r="20" spans="1:13" x14ac:dyDescent="0.25">
      <c r="A20" s="3">
        <v>1018</v>
      </c>
      <c r="B20" s="4" t="s">
        <v>35</v>
      </c>
      <c r="C20" s="4" t="s">
        <v>26</v>
      </c>
      <c r="D20" s="4" t="s">
        <v>8</v>
      </c>
      <c r="E20" s="4">
        <v>780</v>
      </c>
      <c r="F20" s="5">
        <v>45881</v>
      </c>
      <c r="I20" s="1"/>
      <c r="J20" s="2"/>
      <c r="K20" s="2"/>
      <c r="L20" s="2"/>
      <c r="M20" s="2"/>
    </row>
    <row r="21" spans="1:13" x14ac:dyDescent="0.25">
      <c r="A21" s="3">
        <v>1019</v>
      </c>
      <c r="B21" s="4" t="s">
        <v>36</v>
      </c>
      <c r="C21" s="4" t="s">
        <v>7</v>
      </c>
      <c r="D21" s="4" t="s">
        <v>14</v>
      </c>
      <c r="E21" s="4">
        <v>520</v>
      </c>
      <c r="F21" s="5">
        <v>45889</v>
      </c>
      <c r="I21" s="1"/>
      <c r="J21" s="2"/>
      <c r="K21" s="2"/>
      <c r="L21" s="2"/>
      <c r="M21" s="2"/>
    </row>
    <row r="22" spans="1:13" x14ac:dyDescent="0.25">
      <c r="A22" s="3">
        <v>1020</v>
      </c>
      <c r="B22" s="4" t="s">
        <v>37</v>
      </c>
      <c r="C22" s="4" t="s">
        <v>10</v>
      </c>
      <c r="D22" s="4" t="s">
        <v>11</v>
      </c>
      <c r="E22" s="4">
        <v>460</v>
      </c>
      <c r="F22" s="5">
        <v>45897</v>
      </c>
      <c r="I22" s="1"/>
      <c r="J22" s="2"/>
      <c r="K22" s="2"/>
      <c r="L22" s="2"/>
      <c r="M22" s="2"/>
    </row>
    <row r="23" spans="1:13" x14ac:dyDescent="0.25">
      <c r="A23" s="3">
        <v>1021</v>
      </c>
      <c r="B23" s="4" t="s">
        <v>39</v>
      </c>
      <c r="C23" s="4" t="s">
        <v>13</v>
      </c>
      <c r="D23" s="4" t="s">
        <v>8</v>
      </c>
      <c r="E23" s="4">
        <v>330</v>
      </c>
      <c r="F23" s="5">
        <v>45905</v>
      </c>
      <c r="I23" s="1"/>
      <c r="J23" s="2"/>
      <c r="K23" s="2"/>
      <c r="L23" s="2"/>
      <c r="M23" s="2"/>
    </row>
    <row r="24" spans="1:13" x14ac:dyDescent="0.25">
      <c r="A24" s="3">
        <v>1022</v>
      </c>
      <c r="B24" s="4" t="s">
        <v>40</v>
      </c>
      <c r="C24" s="4" t="s">
        <v>16</v>
      </c>
      <c r="D24" s="4" t="s">
        <v>14</v>
      </c>
      <c r="E24" s="4">
        <v>710</v>
      </c>
      <c r="F24" s="5">
        <v>45912</v>
      </c>
      <c r="I24" s="1"/>
      <c r="J24" s="2"/>
      <c r="K24" s="2"/>
      <c r="L24" s="2"/>
      <c r="M24" s="2"/>
    </row>
    <row r="25" spans="1:13" x14ac:dyDescent="0.25">
      <c r="A25" s="3">
        <v>1023</v>
      </c>
      <c r="B25" s="4" t="s">
        <v>41</v>
      </c>
      <c r="C25" s="4" t="s">
        <v>18</v>
      </c>
      <c r="D25" s="4" t="s">
        <v>11</v>
      </c>
      <c r="E25" s="4">
        <v>290</v>
      </c>
      <c r="F25" s="5">
        <v>45920</v>
      </c>
      <c r="I25" s="1"/>
      <c r="J25" s="2"/>
      <c r="K25" s="2"/>
      <c r="L25" s="2"/>
      <c r="M25" s="2"/>
    </row>
    <row r="26" spans="1:13" x14ac:dyDescent="0.25">
      <c r="A26" s="3">
        <v>1024</v>
      </c>
      <c r="B26" s="4" t="s">
        <v>42</v>
      </c>
      <c r="C26" s="4" t="s">
        <v>20</v>
      </c>
      <c r="D26" s="4" t="s">
        <v>8</v>
      </c>
      <c r="E26" s="4">
        <v>480</v>
      </c>
      <c r="F26" s="5">
        <v>45928</v>
      </c>
      <c r="I26" s="1"/>
      <c r="J26" s="2"/>
      <c r="K26" s="2"/>
      <c r="L26" s="2"/>
      <c r="M26" s="2"/>
    </row>
    <row r="27" spans="1:13" x14ac:dyDescent="0.25">
      <c r="A27" s="3">
        <v>1025</v>
      </c>
      <c r="B27" s="4" t="s">
        <v>43</v>
      </c>
      <c r="C27" s="4" t="s">
        <v>22</v>
      </c>
      <c r="D27" s="4" t="s">
        <v>14</v>
      </c>
      <c r="E27" s="4">
        <v>410</v>
      </c>
      <c r="F27" s="5">
        <v>45933</v>
      </c>
      <c r="I27" s="1"/>
      <c r="J27" s="2"/>
      <c r="K27" s="2"/>
      <c r="L27" s="2"/>
      <c r="M27" s="2"/>
    </row>
    <row r="28" spans="1:13" x14ac:dyDescent="0.25">
      <c r="A28" s="3">
        <v>1026</v>
      </c>
      <c r="B28" s="4" t="s">
        <v>44</v>
      </c>
      <c r="C28" s="4" t="s">
        <v>24</v>
      </c>
      <c r="D28" s="4" t="s">
        <v>11</v>
      </c>
      <c r="E28" s="4">
        <v>360</v>
      </c>
      <c r="F28" s="5">
        <v>45942</v>
      </c>
      <c r="I28" s="1"/>
      <c r="J28" s="2"/>
      <c r="K28" s="2"/>
      <c r="L28" s="2"/>
      <c r="M28" s="2"/>
    </row>
    <row r="29" spans="1:13" x14ac:dyDescent="0.25">
      <c r="A29" s="3">
        <v>1027</v>
      </c>
      <c r="B29" s="4" t="s">
        <v>45</v>
      </c>
      <c r="C29" s="4" t="s">
        <v>26</v>
      </c>
      <c r="D29" s="4" t="s">
        <v>8</v>
      </c>
      <c r="E29" s="4">
        <v>920</v>
      </c>
      <c r="F29" s="5">
        <v>45950</v>
      </c>
      <c r="I29" s="1"/>
      <c r="J29" s="2"/>
      <c r="K29" s="2"/>
      <c r="L29" s="2"/>
      <c r="M29" s="2"/>
    </row>
    <row r="30" spans="1:13" x14ac:dyDescent="0.25">
      <c r="A30" s="3">
        <v>1028</v>
      </c>
      <c r="B30" s="4" t="s">
        <v>46</v>
      </c>
      <c r="C30" s="4" t="s">
        <v>7</v>
      </c>
      <c r="D30" s="4" t="s">
        <v>14</v>
      </c>
      <c r="E30" s="4">
        <v>340</v>
      </c>
      <c r="F30" s="5">
        <v>45958</v>
      </c>
      <c r="I30" s="1"/>
      <c r="J30" s="2"/>
      <c r="K30" s="2"/>
      <c r="L30" s="2"/>
      <c r="M30" s="2"/>
    </row>
    <row r="31" spans="1:13" x14ac:dyDescent="0.25">
      <c r="A31" s="3">
        <v>1029</v>
      </c>
      <c r="B31" s="4" t="s">
        <v>47</v>
      </c>
      <c r="C31" s="4" t="s">
        <v>10</v>
      </c>
      <c r="D31" s="4" t="s">
        <v>11</v>
      </c>
      <c r="E31" s="4">
        <v>570</v>
      </c>
      <c r="F31" s="5">
        <v>45966</v>
      </c>
      <c r="I31" s="1"/>
      <c r="J31" s="2"/>
      <c r="K31" s="2"/>
      <c r="L31" s="2"/>
      <c r="M31" s="2"/>
    </row>
    <row r="32" spans="1:13" x14ac:dyDescent="0.25">
      <c r="A32" s="3">
        <v>1030</v>
      </c>
      <c r="B32" s="4" t="s">
        <v>48</v>
      </c>
      <c r="C32" s="4" t="s">
        <v>13</v>
      </c>
      <c r="D32" s="4" t="s">
        <v>8</v>
      </c>
      <c r="E32" s="4">
        <v>260</v>
      </c>
      <c r="F32" s="5">
        <v>45973</v>
      </c>
      <c r="I32" s="1"/>
      <c r="J32" s="2"/>
      <c r="K32" s="2"/>
      <c r="L32" s="2"/>
      <c r="M32" s="2"/>
    </row>
    <row r="33" spans="1:13" x14ac:dyDescent="0.25">
      <c r="A33" s="3">
        <v>1031</v>
      </c>
      <c r="B33" s="4" t="s">
        <v>49</v>
      </c>
      <c r="C33" s="4" t="s">
        <v>16</v>
      </c>
      <c r="D33" s="4" t="s">
        <v>14</v>
      </c>
      <c r="E33" s="4">
        <v>450</v>
      </c>
      <c r="F33" s="5">
        <v>45981</v>
      </c>
      <c r="I33" s="1"/>
      <c r="J33" s="2"/>
      <c r="K33" s="2"/>
      <c r="L33" s="2"/>
      <c r="M33" s="2"/>
    </row>
    <row r="34" spans="1:13" x14ac:dyDescent="0.25">
      <c r="A34" s="3">
        <v>1032</v>
      </c>
      <c r="B34" s="4" t="s">
        <v>50</v>
      </c>
      <c r="C34" s="4" t="s">
        <v>18</v>
      </c>
      <c r="D34" s="4" t="s">
        <v>11</v>
      </c>
      <c r="E34" s="4">
        <v>620</v>
      </c>
      <c r="F34" s="5">
        <v>45989</v>
      </c>
      <c r="I34" s="1"/>
      <c r="J34" s="2"/>
      <c r="K34" s="2"/>
      <c r="L34" s="2"/>
      <c r="M34" s="2"/>
    </row>
    <row r="35" spans="1:13" x14ac:dyDescent="0.25">
      <c r="A35" s="3">
        <v>1033</v>
      </c>
      <c r="B35" s="4" t="s">
        <v>51</v>
      </c>
      <c r="C35" s="4" t="s">
        <v>20</v>
      </c>
      <c r="D35" s="4" t="s">
        <v>8</v>
      </c>
      <c r="E35" s="4">
        <v>390</v>
      </c>
      <c r="F35" s="5">
        <v>45995</v>
      </c>
      <c r="I35" s="1"/>
      <c r="J35" s="2"/>
      <c r="K35" s="2"/>
      <c r="L35" s="2"/>
      <c r="M35" s="2"/>
    </row>
    <row r="36" spans="1:13" x14ac:dyDescent="0.25">
      <c r="A36" s="3">
        <v>1034</v>
      </c>
      <c r="B36" s="4" t="s">
        <v>52</v>
      </c>
      <c r="C36" s="4" t="s">
        <v>22</v>
      </c>
      <c r="D36" s="4" t="s">
        <v>14</v>
      </c>
      <c r="E36" s="4">
        <v>430</v>
      </c>
      <c r="F36" s="5">
        <v>46003</v>
      </c>
      <c r="I36" s="1"/>
      <c r="J36" s="2"/>
      <c r="K36" s="2"/>
      <c r="L36" s="2"/>
      <c r="M36" s="2"/>
    </row>
    <row r="37" spans="1:13" x14ac:dyDescent="0.25">
      <c r="A37" s="3">
        <v>1035</v>
      </c>
      <c r="B37" s="4" t="s">
        <v>53</v>
      </c>
      <c r="C37" s="4" t="s">
        <v>24</v>
      </c>
      <c r="D37" s="4" t="s">
        <v>11</v>
      </c>
      <c r="E37" s="4">
        <v>400</v>
      </c>
      <c r="F37" s="5">
        <v>46011</v>
      </c>
      <c r="I37" s="1"/>
      <c r="J37" s="2"/>
      <c r="K37" s="2"/>
      <c r="L37" s="2"/>
      <c r="M37" s="2"/>
    </row>
    <row r="38" spans="1:13" x14ac:dyDescent="0.25">
      <c r="A38" s="3">
        <v>1036</v>
      </c>
      <c r="B38" s="4" t="s">
        <v>54</v>
      </c>
      <c r="C38" s="4" t="s">
        <v>26</v>
      </c>
      <c r="D38" s="4" t="s">
        <v>8</v>
      </c>
      <c r="E38" s="4">
        <v>560</v>
      </c>
      <c r="F38" s="5">
        <v>46019</v>
      </c>
      <c r="I38" s="1"/>
      <c r="J38" s="2"/>
      <c r="K38" s="2"/>
      <c r="L38" s="2"/>
      <c r="M38" s="2"/>
    </row>
    <row r="39" spans="1:13" x14ac:dyDescent="0.25">
      <c r="A39" s="3">
        <v>1037</v>
      </c>
      <c r="B39" s="4" t="s">
        <v>55</v>
      </c>
      <c r="C39" s="4" t="s">
        <v>7</v>
      </c>
      <c r="D39" s="4" t="s">
        <v>14</v>
      </c>
      <c r="E39" s="4">
        <v>490</v>
      </c>
      <c r="F39" s="5">
        <v>46027</v>
      </c>
      <c r="I39" s="1"/>
      <c r="J39" s="2"/>
      <c r="K39" s="2"/>
      <c r="L39" s="2"/>
      <c r="M39" s="2"/>
    </row>
    <row r="40" spans="1:13" x14ac:dyDescent="0.25">
      <c r="A40" s="3">
        <v>1038</v>
      </c>
      <c r="B40" s="4" t="s">
        <v>56</v>
      </c>
      <c r="C40" s="4" t="s">
        <v>10</v>
      </c>
      <c r="D40" s="4" t="s">
        <v>11</v>
      </c>
      <c r="E40" s="4">
        <v>870</v>
      </c>
      <c r="F40" s="5">
        <v>46034</v>
      </c>
      <c r="I40" s="1"/>
      <c r="J40" s="2"/>
      <c r="K40" s="2"/>
      <c r="L40" s="2"/>
      <c r="M40" s="2"/>
    </row>
    <row r="41" spans="1:13" x14ac:dyDescent="0.25">
      <c r="A41" s="3">
        <v>1039</v>
      </c>
      <c r="B41" s="4" t="s">
        <v>57</v>
      </c>
      <c r="C41" s="4" t="s">
        <v>13</v>
      </c>
      <c r="D41" s="4" t="s">
        <v>8</v>
      </c>
      <c r="E41" s="4">
        <v>310</v>
      </c>
      <c r="F41" s="5">
        <v>46042</v>
      </c>
      <c r="I41" s="1"/>
      <c r="J41" s="2"/>
      <c r="K41" s="2"/>
      <c r="L41" s="2"/>
      <c r="M41" s="2"/>
    </row>
    <row r="42" spans="1:13" x14ac:dyDescent="0.25">
      <c r="A42" s="3">
        <v>1040</v>
      </c>
      <c r="B42" s="4" t="s">
        <v>58</v>
      </c>
      <c r="C42" s="4" t="s">
        <v>16</v>
      </c>
      <c r="D42" s="4" t="s">
        <v>14</v>
      </c>
      <c r="E42" s="4">
        <v>580</v>
      </c>
      <c r="F42" s="5">
        <v>46050</v>
      </c>
      <c r="I42" s="1"/>
      <c r="J42" s="2"/>
      <c r="K42" s="2"/>
      <c r="L42" s="2"/>
      <c r="M42" s="2"/>
    </row>
    <row r="43" spans="1:13" x14ac:dyDescent="0.25">
      <c r="A43" s="3">
        <v>1041</v>
      </c>
      <c r="B43" s="4" t="s">
        <v>59</v>
      </c>
      <c r="C43" s="4" t="s">
        <v>18</v>
      </c>
      <c r="D43" s="4" t="s">
        <v>11</v>
      </c>
      <c r="E43" s="4">
        <v>270</v>
      </c>
      <c r="F43" s="5">
        <v>46056</v>
      </c>
      <c r="I43" s="1"/>
      <c r="J43" s="2"/>
      <c r="K43" s="2"/>
      <c r="L43" s="2"/>
      <c r="M43" s="2"/>
    </row>
    <row r="44" spans="1:13" x14ac:dyDescent="0.25">
      <c r="A44" s="3">
        <v>1042</v>
      </c>
      <c r="B44" s="4" t="s">
        <v>60</v>
      </c>
      <c r="C44" s="4" t="s">
        <v>20</v>
      </c>
      <c r="D44" s="4" t="s">
        <v>8</v>
      </c>
      <c r="E44" s="4">
        <v>440</v>
      </c>
      <c r="F44" s="5">
        <v>46065</v>
      </c>
      <c r="I44" s="1"/>
      <c r="J44" s="2"/>
      <c r="K44" s="2"/>
      <c r="L44" s="2"/>
      <c r="M44" s="2"/>
    </row>
    <row r="45" spans="1:13" x14ac:dyDescent="0.25">
      <c r="A45" s="3">
        <v>1043</v>
      </c>
      <c r="B45" s="4" t="s">
        <v>61</v>
      </c>
      <c r="C45" s="4" t="s">
        <v>22</v>
      </c>
      <c r="D45" s="4" t="s">
        <v>14</v>
      </c>
      <c r="E45" s="4">
        <v>650</v>
      </c>
      <c r="F45" s="5">
        <v>46073</v>
      </c>
      <c r="I45" s="1"/>
      <c r="J45" s="2"/>
      <c r="K45" s="2"/>
      <c r="L45" s="2"/>
      <c r="M45" s="2"/>
    </row>
    <row r="46" spans="1:13" x14ac:dyDescent="0.25">
      <c r="A46" s="3">
        <v>1044</v>
      </c>
      <c r="B46" s="4" t="s">
        <v>62</v>
      </c>
      <c r="C46" s="4" t="s">
        <v>24</v>
      </c>
      <c r="D46" s="4" t="s">
        <v>11</v>
      </c>
      <c r="E46" s="4">
        <v>380</v>
      </c>
      <c r="F46" s="5">
        <v>46081</v>
      </c>
      <c r="I46" s="1"/>
      <c r="J46" s="2"/>
      <c r="K46" s="2"/>
      <c r="L46" s="2"/>
      <c r="M46" s="2"/>
    </row>
    <row r="47" spans="1:13" x14ac:dyDescent="0.25">
      <c r="A47" s="3">
        <v>1045</v>
      </c>
      <c r="B47" s="4" t="s">
        <v>63</v>
      </c>
      <c r="C47" s="4" t="s">
        <v>26</v>
      </c>
      <c r="D47" s="4" t="s">
        <v>8</v>
      </c>
      <c r="E47" s="4">
        <v>800</v>
      </c>
      <c r="F47" s="5">
        <v>46086</v>
      </c>
      <c r="I47" s="1"/>
      <c r="J47" s="2"/>
      <c r="K47" s="2"/>
      <c r="L47" s="2"/>
      <c r="M47" s="2"/>
    </row>
    <row r="48" spans="1:13" x14ac:dyDescent="0.25">
      <c r="A48" s="3">
        <v>1046</v>
      </c>
      <c r="B48" s="4" t="s">
        <v>64</v>
      </c>
      <c r="C48" s="4" t="s">
        <v>7</v>
      </c>
      <c r="D48" s="4" t="s">
        <v>14</v>
      </c>
      <c r="E48" s="4">
        <v>540</v>
      </c>
      <c r="F48" s="5">
        <v>46093</v>
      </c>
      <c r="I48" s="1"/>
      <c r="J48" s="2"/>
      <c r="K48" s="2"/>
      <c r="L48" s="2"/>
      <c r="M48" s="2"/>
    </row>
    <row r="49" spans="1:13" x14ac:dyDescent="0.25">
      <c r="A49" s="3">
        <v>1047</v>
      </c>
      <c r="B49" s="4" t="s">
        <v>65</v>
      </c>
      <c r="C49" s="4" t="s">
        <v>10</v>
      </c>
      <c r="D49" s="4" t="s">
        <v>11</v>
      </c>
      <c r="E49" s="4">
        <v>470</v>
      </c>
      <c r="F49" s="5">
        <v>46101</v>
      </c>
      <c r="I49" s="1"/>
      <c r="J49" s="2"/>
      <c r="K49" s="2"/>
      <c r="L49" s="2"/>
      <c r="M49" s="2"/>
    </row>
    <row r="50" spans="1:13" x14ac:dyDescent="0.25">
      <c r="A50" s="3">
        <v>1048</v>
      </c>
      <c r="B50" s="4" t="s">
        <v>66</v>
      </c>
      <c r="C50" s="4" t="s">
        <v>13</v>
      </c>
      <c r="D50" s="4" t="s">
        <v>8</v>
      </c>
      <c r="E50" s="4">
        <v>340</v>
      </c>
      <c r="F50" s="5">
        <v>46106</v>
      </c>
      <c r="I50" s="1"/>
      <c r="J50" s="2"/>
      <c r="K50" s="2"/>
      <c r="L50" s="2"/>
      <c r="M50" s="2"/>
    </row>
    <row r="51" spans="1:13" x14ac:dyDescent="0.25">
      <c r="A51" s="3">
        <v>1049</v>
      </c>
      <c r="B51" s="4" t="s">
        <v>67</v>
      </c>
      <c r="C51" s="4" t="s">
        <v>16</v>
      </c>
      <c r="D51" s="4" t="s">
        <v>14</v>
      </c>
      <c r="E51" s="4">
        <v>720</v>
      </c>
      <c r="F51" s="5">
        <v>46109</v>
      </c>
      <c r="I51" s="1"/>
      <c r="J51" s="2"/>
      <c r="K51" s="2"/>
      <c r="L51" s="2"/>
      <c r="M51" s="2"/>
    </row>
    <row r="52" spans="1:13" x14ac:dyDescent="0.25">
      <c r="A52" s="3">
        <v>1050</v>
      </c>
      <c r="B52" s="4" t="s">
        <v>68</v>
      </c>
      <c r="C52" s="4" t="s">
        <v>18</v>
      </c>
      <c r="D52" s="4" t="s">
        <v>11</v>
      </c>
      <c r="E52" s="4">
        <v>300</v>
      </c>
      <c r="F52" s="5">
        <v>46110</v>
      </c>
      <c r="I52" s="1"/>
      <c r="J52" s="2"/>
      <c r="K52" s="2"/>
      <c r="L52" s="2"/>
      <c r="M52" s="2"/>
    </row>
    <row r="53" spans="1:13" x14ac:dyDescent="0.25">
      <c r="A53" s="3">
        <v>1051</v>
      </c>
      <c r="B53" s="4" t="s">
        <v>69</v>
      </c>
      <c r="C53" s="4" t="s">
        <v>20</v>
      </c>
      <c r="D53" s="4" t="s">
        <v>8</v>
      </c>
      <c r="E53" s="4">
        <v>490</v>
      </c>
      <c r="F53" s="5">
        <v>46111</v>
      </c>
      <c r="I53" s="1"/>
      <c r="J53" s="2"/>
      <c r="K53" s="2"/>
      <c r="L53" s="2"/>
      <c r="M53" s="2"/>
    </row>
    <row r="54" spans="1:13" x14ac:dyDescent="0.25">
      <c r="A54" s="3">
        <v>1052</v>
      </c>
      <c r="B54" s="4" t="s">
        <v>38</v>
      </c>
      <c r="C54" s="4" t="s">
        <v>22</v>
      </c>
      <c r="D54" s="4" t="s">
        <v>14</v>
      </c>
      <c r="E54" s="4">
        <v>420</v>
      </c>
      <c r="F54" s="5">
        <v>46112</v>
      </c>
      <c r="I54" s="1"/>
      <c r="J54" s="2"/>
      <c r="K54" s="2"/>
      <c r="L54" s="2"/>
      <c r="M5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vt:lpstr>
      <vt:lpstr>2</vt:lpstr>
      <vt:lpstr>3</vt:lpstr>
      <vt:lpstr>4</vt:lpstr>
      <vt:lpstr>5</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2026-07-17T10:28:36Z</dcterms:modified>
</cp:coreProperties>
</file>