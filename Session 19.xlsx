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dmin\Desktop\TOP TECHS\data anaylitics\Excel\Assignment\"/>
    </mc:Choice>
  </mc:AlternateContent>
  <xr:revisionPtr revIDLastSave="0" documentId="13_ncr:1_{DECBBFDB-4499-4939-B693-9BCB306A6D6C}" xr6:coauthVersionLast="47" xr6:coauthVersionMax="47" xr10:uidLastSave="{00000000-0000-0000-0000-000000000000}"/>
  <bookViews>
    <workbookView xWindow="-120" yWindow="-120" windowWidth="20730" windowHeight="11160" activeTab="4" xr2:uid="{00000000-000D-0000-FFFF-FFFF00000000}"/>
  </bookViews>
  <sheets>
    <sheet name="KPI" sheetId="3" r:id="rId1"/>
    <sheet name="DONUT CHART" sheetId="4" r:id="rId2"/>
    <sheet name="WATERFALL CHART" sheetId="5" r:id="rId3"/>
    <sheet name="Sheet1" sheetId="1" r:id="rId4"/>
    <sheet name="dashboard" sheetId="2" r:id="rId5"/>
  </sheets>
  <definedNames>
    <definedName name="_xlnm._FilterDatabase" localSheetId="3" hidden="1">Sheet1!$A$1:$E$51</definedName>
    <definedName name="_xlchart.v1.0" hidden="1">'WATERFALL CHART'!$D$3:$D$14</definedName>
    <definedName name="_xlchart.v1.1" hidden="1">'WATERFALL CHART'!$E$2</definedName>
    <definedName name="_xlchart.v1.2" hidden="1">'WATERFALL CHART'!$E$3:$E$14</definedName>
    <definedName name="_xlchart.v5.3" hidden="1">'WATERFALL CHART'!$D$3:$D$14</definedName>
    <definedName name="_xlchart.v5.4" hidden="1">'WATERFALL CHART'!$E$2</definedName>
    <definedName name="_xlchart.v5.5" hidden="1">'WATERFALL CHART'!$E$3:$E$14</definedName>
    <definedName name="Slicer_Cuisine">#N/A</definedName>
    <definedName name="Slicer_Months__OrderDate">#N/A</definedName>
  </definedNames>
  <calcPr calcId="191029"/>
  <pivotCaches>
    <pivotCache cacheId="2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5" l="1"/>
  <c r="E4" i="5"/>
  <c r="D5" i="5"/>
  <c r="E5" i="5"/>
  <c r="D6" i="5"/>
  <c r="E6" i="5"/>
  <c r="D7" i="5"/>
  <c r="E7" i="5"/>
  <c r="D8" i="5"/>
  <c r="E8" i="5"/>
  <c r="D9" i="5"/>
  <c r="E9" i="5"/>
  <c r="D10" i="5"/>
  <c r="E10" i="5"/>
  <c r="D11" i="5"/>
  <c r="E11" i="5"/>
  <c r="D12" i="5"/>
  <c r="E12" i="5"/>
  <c r="D13" i="5"/>
  <c r="E13" i="5"/>
  <c r="D14" i="5"/>
  <c r="E14" i="5"/>
  <c r="E3" i="5"/>
  <c r="D3" i="5"/>
  <c r="F5" i="3"/>
  <c r="F4" i="3"/>
  <c r="F3" i="3"/>
</calcChain>
</file>

<file path=xl/sharedStrings.xml><?xml version="1.0" encoding="utf-8"?>
<sst xmlns="http://schemas.openxmlformats.org/spreadsheetml/2006/main" count="134" uniqueCount="77">
  <si>
    <t>OrderID</t>
  </si>
  <si>
    <t>Customer</t>
  </si>
  <si>
    <t>Cuisine</t>
  </si>
  <si>
    <t>OrderAmount</t>
  </si>
  <si>
    <t>OrderDate</t>
  </si>
  <si>
    <t>Asha</t>
  </si>
  <si>
    <t>Indian</t>
  </si>
  <si>
    <t>Rohan</t>
  </si>
  <si>
    <t>Chinese</t>
  </si>
  <si>
    <t>Priya</t>
  </si>
  <si>
    <t>Italian</t>
  </si>
  <si>
    <t>Mehul</t>
  </si>
  <si>
    <t>Sneha</t>
  </si>
  <si>
    <t>Arjun</t>
  </si>
  <si>
    <t>Kavya</t>
  </si>
  <si>
    <t>Dev</t>
  </si>
  <si>
    <t>Neha</t>
  </si>
  <si>
    <t>Rahul</t>
  </si>
  <si>
    <t>Ananya</t>
  </si>
  <si>
    <t>Varun</t>
  </si>
  <si>
    <t>Isha</t>
  </si>
  <si>
    <t>Manav</t>
  </si>
  <si>
    <t>Tanya</t>
  </si>
  <si>
    <t>Aarav</t>
  </si>
  <si>
    <t>Pooja</t>
  </si>
  <si>
    <t>Karan</t>
  </si>
  <si>
    <t>Riya</t>
  </si>
  <si>
    <t>Mohit</t>
  </si>
  <si>
    <t>Simran</t>
  </si>
  <si>
    <t>Aditya</t>
  </si>
  <si>
    <t>Nisha</t>
  </si>
  <si>
    <t>Vivek</t>
  </si>
  <si>
    <t>Shruti</t>
  </si>
  <si>
    <t>Aman</t>
  </si>
  <si>
    <t>Sanjay</t>
  </si>
  <si>
    <t>Meera</t>
  </si>
  <si>
    <t>Deepak</t>
  </si>
  <si>
    <t>Alia</t>
  </si>
  <si>
    <t>Rohit</t>
  </si>
  <si>
    <t>Sanya</t>
  </si>
  <si>
    <t>Harsh</t>
  </si>
  <si>
    <t>Anjali</t>
  </si>
  <si>
    <t>Yash</t>
  </si>
  <si>
    <t>Kriti</t>
  </si>
  <si>
    <t>Arnav</t>
  </si>
  <si>
    <t>Bhavna</t>
  </si>
  <si>
    <t>Dhruv</t>
  </si>
  <si>
    <t>Snehal</t>
  </si>
  <si>
    <t>Parth</t>
  </si>
  <si>
    <t>Rachna</t>
  </si>
  <si>
    <t>Ishaan</t>
  </si>
  <si>
    <t>Gauri</t>
  </si>
  <si>
    <t>Kunal</t>
  </si>
  <si>
    <t>Shreya</t>
  </si>
  <si>
    <t>Tarun</t>
  </si>
  <si>
    <t>Lavanya</t>
  </si>
  <si>
    <t>Omkar</t>
  </si>
  <si>
    <t>Payal</t>
  </si>
  <si>
    <t>Sum of OrderAmount</t>
  </si>
  <si>
    <t>Row Labels</t>
  </si>
  <si>
    <t>Grand Total</t>
  </si>
  <si>
    <t>MIN ORDER VALUE</t>
  </si>
  <si>
    <t>MAX ORDER VALUE</t>
  </si>
  <si>
    <t>AVG ORDER VALUE</t>
  </si>
  <si>
    <t>Count of OrderID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</si>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</sst>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9" formatCode="_ &quot;₹&quot;\ * #,##0_ ;_ &quot;₹&quot;\ * \-#,##0_ ;_ &quot;₹&quot;\ * &quot;-&quot;??_ ;_ @_ "/>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C366DC"/>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6">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2" fillId="0" borderId="1" xfId="0" applyFont="1" applyBorder="1" applyAlignment="1">
      <alignment horizontal="center" vertical="center"/>
    </xf>
    <xf numFmtId="0" fontId="0" fillId="0" borderId="1" xfId="0" applyFont="1" applyBorder="1" applyAlignment="1">
      <alignment horizontal="center" vertical="center"/>
    </xf>
    <xf numFmtId="0" fontId="0" fillId="0" borderId="1" xfId="0" applyBorder="1" applyAlignment="1">
      <alignment vertical="center"/>
    </xf>
    <xf numFmtId="15" fontId="0" fillId="0" borderId="1" xfId="0" applyNumberFormat="1" applyBorder="1" applyAlignment="1">
      <alignment vertical="center"/>
    </xf>
    <xf numFmtId="169" fontId="0" fillId="0" borderId="1" xfId="1" applyNumberFormat="1" applyFont="1" applyBorder="1" applyAlignment="1">
      <alignment vertical="center"/>
    </xf>
    <xf numFmtId="0" fontId="0" fillId="2" borderId="0" xfId="0" applyFill="1"/>
    <xf numFmtId="169"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3" borderId="0" xfId="0" applyFill="1"/>
    <xf numFmtId="169" fontId="0" fillId="0" borderId="0" xfId="0" applyNumberFormat="1" applyFill="1"/>
    <xf numFmtId="0" fontId="0" fillId="2" borderId="0" xfId="0" applyFill="1" applyAlignment="1"/>
  </cellXfs>
  <cellStyles count="2">
    <cellStyle name="Currency" xfId="1" builtinId="4"/>
    <cellStyle name="Normal" xfId="0" builtinId="0"/>
  </cellStyles>
  <dxfs count="2">
    <dxf>
      <font>
        <b/>
        <i val="0"/>
        <color theme="0"/>
      </font>
      <fill>
        <patternFill>
          <bgColor rgb="FF7030A0"/>
        </patternFill>
      </fill>
      <border diagonalUp="0" diagonalDown="0">
        <left/>
        <right/>
        <top/>
        <bottom/>
        <vertical/>
        <horizontal/>
      </border>
    </dxf>
    <dxf>
      <font>
        <b/>
        <i val="0"/>
        <color theme="0"/>
      </font>
      <fill>
        <patternFill>
          <bgColor rgb="FF7030A0"/>
        </patternFill>
      </fill>
      <border diagonalUp="0" diagonalDown="0">
        <left/>
        <right/>
        <top/>
        <bottom/>
        <vertical/>
        <horizontal/>
      </border>
    </dxf>
  </dxfs>
  <tableStyles count="1" defaultTableStyle="TableStyleMedium2" defaultPivotStyle="PivotStyleLight16">
    <tableStyle name="Slicer Style 1" pivot="0" table="0" count="4" xr9:uid="{222C184E-5269-4493-8FCC-6C9CC7B88DFC}">
      <tableStyleElement type="wholeTable" dxfId="1"/>
      <tableStyleElement type="headerRow" dxfId="0"/>
    </tableStyle>
  </tableStyles>
  <colors>
    <mruColors>
      <color rgb="FFCC66FF"/>
      <color rgb="FFC366DC"/>
    </mruColors>
  </colors>
  <extLst>
    <ext xmlns:x14="http://schemas.microsoft.com/office/spreadsheetml/2009/9/main" uri="{46F421CA-312F-682f-3DD2-61675219B42D}">
      <x14:dxfs count="4">
        <dxf>
          <font>
            <b/>
            <i val="0"/>
            <color theme="0" tint="-0.14996795556505021"/>
          </font>
          <fill>
            <patternFill>
              <bgColor rgb="FFCC66FF"/>
            </patternFill>
          </fill>
          <border diagonalUp="0" diagonalDown="0">
            <left/>
            <right/>
            <top/>
            <bottom/>
            <vertical/>
            <horizontal/>
          </border>
        </dxf>
        <dxf>
          <font>
            <b/>
            <i val="0"/>
            <color theme="0"/>
          </font>
          <fill>
            <patternFill>
              <bgColor rgb="FF7030A0"/>
            </patternFill>
          </fill>
          <border diagonalUp="0" diagonalDown="0">
            <left/>
            <right/>
            <top/>
            <bottom/>
            <vertical/>
            <horizontal/>
          </border>
        </dxf>
        <dxf>
          <font>
            <b/>
            <i val="0"/>
            <color theme="0" tint="-0.14996795556505021"/>
          </font>
          <fill>
            <patternFill>
              <bgColor rgb="FFCC66FF"/>
            </patternFill>
          </fill>
          <border diagonalUp="0" diagonalDown="0">
            <left/>
            <right/>
            <top/>
            <bottom/>
            <vertical/>
            <horizontal/>
          </border>
        </dxf>
        <dxf>
          <font>
            <b/>
            <i val="0"/>
            <color theme="0"/>
          </font>
          <fill>
            <patternFill>
              <bgColor rgb="FF7030A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19.xlsx]DONUT CHART!PivotTable2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CUISINE WISE ORDER </a:t>
            </a:r>
          </a:p>
        </c:rich>
      </c:tx>
      <c:layout>
        <c:manualLayout>
          <c:xMode val="edge"/>
          <c:yMode val="edge"/>
          <c:x val="3.1389044111421564E-2"/>
          <c:y val="0.1424978127734033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622792312251291"/>
          <c:y val="0.24826334208223969"/>
          <c:w val="0.67849496232325801"/>
          <c:h val="0.73032443861184015"/>
        </c:manualLayout>
      </c:layout>
      <c:doughnutChart>
        <c:varyColors val="1"/>
        <c:ser>
          <c:idx val="0"/>
          <c:order val="0"/>
          <c:tx>
            <c:strRef>
              <c:f>'DONUT CHART'!$B$2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CHART'!$A$3:$A$6</c:f>
              <c:strCache>
                <c:ptCount val="3"/>
                <c:pt idx="0">
                  <c:v>Chinese</c:v>
                </c:pt>
                <c:pt idx="1">
                  <c:v>Indian</c:v>
                </c:pt>
                <c:pt idx="2">
                  <c:v>Italian</c:v>
                </c:pt>
              </c:strCache>
            </c:strRef>
          </c:cat>
          <c:val>
            <c:numRef>
              <c:f>'DONUT CHART'!$B$3:$B$6</c:f>
              <c:numCache>
                <c:formatCode>General</c:formatCode>
                <c:ptCount val="3"/>
                <c:pt idx="0">
                  <c:v>17</c:v>
                </c:pt>
                <c:pt idx="1">
                  <c:v>23</c:v>
                </c:pt>
                <c:pt idx="2">
                  <c:v>10</c:v>
                </c:pt>
              </c:numCache>
            </c:numRef>
          </c:val>
          <c:extLst>
            <c:ext xmlns:c16="http://schemas.microsoft.com/office/drawing/2014/chart" uri="{C3380CC4-5D6E-409C-BE32-E72D297353CC}">
              <c16:uniqueId val="{00000000-FC97-426A-8E38-FEE2A41BA6D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456755905511811"/>
          <c:y val="1.7914479440069974E-2"/>
          <c:w val="0.53335196003725338"/>
          <c:h val="0.1315029892096821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 19.xlsx]DONUT CHART!PivotTable2</c:name>
    <c:fmtId val="5"/>
  </c:pivotSource>
  <c:chart>
    <c:title>
      <c:tx>
        <c:rich>
          <a:bodyPr rot="0" spcFirstLastPara="1" vertOverflow="ellipsis" vert="horz" wrap="square" anchor="ctr" anchorCtr="1"/>
          <a:lstStyle/>
          <a:p>
            <a:pPr>
              <a:defRPr sz="1800" b="0" i="0" u="none" strike="noStrike" kern="1200" cap="none" spc="0" baseline="0">
                <a:ln w="10160">
                  <a:solidFill>
                    <a:schemeClr val="bg1"/>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r>
              <a:rPr lang="en-US"/>
              <a:t>CUISINE WISE ORDER </a:t>
            </a:r>
          </a:p>
        </c:rich>
      </c:tx>
      <c:layout>
        <c:manualLayout>
          <c:xMode val="edge"/>
          <c:yMode val="edge"/>
          <c:x val="3.1389044111421564E-2"/>
          <c:y val="0.14249781277340332"/>
        </c:manualLayout>
      </c:layout>
      <c:overlay val="0"/>
      <c:spPr>
        <a:noFill/>
        <a:ln>
          <a:noFill/>
        </a:ln>
        <a:effectLst/>
      </c:spPr>
      <c:txPr>
        <a:bodyPr rot="0" spcFirstLastPara="1" vertOverflow="ellipsis" vert="horz" wrap="square" anchor="ctr" anchorCtr="1"/>
        <a:lstStyle/>
        <a:p>
          <a:pPr>
            <a:defRPr sz="1800" b="0" i="0" u="none" strike="noStrike" kern="1200" cap="none" spc="0" baseline="0">
              <a:ln w="10160">
                <a:solidFill>
                  <a:schemeClr val="bg1"/>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10160">
                    <a:solidFill>
                      <a:schemeClr val="bg1"/>
                    </a:solidFill>
                    <a:prstDash val="solid"/>
                  </a:ln>
                  <a:solidFill>
                    <a:schemeClr val="lt1"/>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cap="none" spc="0" baseline="0">
                  <a:ln w="10160">
                    <a:solidFill>
                      <a:schemeClr val="bg1"/>
                    </a:solidFill>
                    <a:prstDash val="solid"/>
                  </a:ln>
                  <a:solidFill>
                    <a:schemeClr val="lt1"/>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0" i="0" u="none" strike="noStrike" kern="1200" cap="none" spc="0" baseline="0">
                  <a:ln w="10160">
                    <a:solidFill>
                      <a:schemeClr val="bg1"/>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1622792312251291"/>
          <c:y val="0.24826334208223969"/>
          <c:w val="0.67849496232325801"/>
          <c:h val="0.73032443861184015"/>
        </c:manualLayout>
      </c:layout>
      <c:doughnutChart>
        <c:varyColors val="1"/>
        <c:ser>
          <c:idx val="0"/>
          <c:order val="0"/>
          <c:tx>
            <c:strRef>
              <c:f>'DONUT CHART'!$B$2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6B1-4E8B-8A3A-ED7B8347275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6B1-4E8B-8A3A-ED7B8347275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6B1-4E8B-8A3A-ED7B8347275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0" i="0" u="none" strike="noStrike" kern="1200" cap="none" spc="0" baseline="0">
                    <a:ln w="10160">
                      <a:solidFill>
                        <a:schemeClr val="bg1"/>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'DONUT CHART'!$A$3:$A$6</c:f>
              <c:strCache>
                <c:ptCount val="3"/>
                <c:pt idx="0">
                  <c:v>Chinese</c:v>
                </c:pt>
                <c:pt idx="1">
                  <c:v>Indian</c:v>
                </c:pt>
                <c:pt idx="2">
                  <c:v>Italian</c:v>
                </c:pt>
              </c:strCache>
            </c:strRef>
          </c:cat>
          <c:val>
            <c:numRef>
              <c:f>'DONUT CHART'!$B$3:$B$6</c:f>
              <c:numCache>
                <c:formatCode>General</c:formatCode>
                <c:ptCount val="3"/>
                <c:pt idx="0">
                  <c:v>17</c:v>
                </c:pt>
                <c:pt idx="1">
                  <c:v>23</c:v>
                </c:pt>
                <c:pt idx="2">
                  <c:v>10</c:v>
                </c:pt>
              </c:numCache>
            </c:numRef>
          </c:val>
          <c:extLst>
            <c:ext xmlns:c16="http://schemas.microsoft.com/office/drawing/2014/chart" uri="{C3380CC4-5D6E-409C-BE32-E72D297353CC}">
              <c16:uniqueId val="{00000006-66B1-4E8B-8A3A-ED7B8347275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36762923351158644"/>
          <c:y val="1.7914479440069974E-2"/>
          <c:w val="0.62247842014400612"/>
          <c:h val="0.13150298920968212"/>
        </c:manualLayout>
      </c:layout>
      <c:overlay val="0"/>
      <c:spPr>
        <a:noFill/>
        <a:ln>
          <a:noFill/>
        </a:ln>
        <a:effectLst/>
      </c:spPr>
      <c:txPr>
        <a:bodyPr rot="0" spcFirstLastPara="1" vertOverflow="ellipsis" vert="horz" wrap="square" anchor="ctr" anchorCtr="1"/>
        <a:lstStyle/>
        <a:p>
          <a:pPr>
            <a:defRPr sz="900" b="0" i="0" u="none" strike="noStrike" kern="1200" cap="none" spc="0" baseline="0">
              <a:ln w="10160">
                <a:solidFill>
                  <a:schemeClr val="bg1"/>
                </a:solidFill>
                <a:prstDash val="solid"/>
              </a:ln>
              <a:solidFill>
                <a:srgbClr val="FFFFFF"/>
              </a:solidFill>
              <a:effectLst>
                <a:outerShdw blurRad="38100" dist="22860" dir="5400000" algn="tl" rotWithShape="0">
                  <a:srgbClr val="000000">
                    <a:alpha val="30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cap="none" spc="0">
          <a:ln w="10160">
            <a:solidFill>
              <a:schemeClr val="bg1"/>
            </a:solidFill>
            <a:prstDash val="solid"/>
          </a:ln>
          <a:solidFill>
            <a:srgbClr val="FFFFFF"/>
          </a:solidFill>
          <a:effectLst>
            <a:outerShdw blurRad="38100" dist="22860" dir="5400000" algn="tl" rotWithShape="0">
              <a:srgbClr val="000000">
                <a:alpha val="30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MONTH WISE ORDER</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panose="020F0502020204030204"/>
            </a:rPr>
            <a:t>MONTH WISE ORDER</a:t>
          </a:r>
        </a:p>
      </cx:txPr>
    </cx:title>
    <cx:plotArea>
      <cx:plotAreaRegion>
        <cx:series layoutId="waterfall" uniqueId="{00000000-6DC5-4FC4-A113-840AB5A5A639}">
          <cx:tx>
            <cx:txData>
              <cx:f>_xlchart.v1.1</cx:f>
              <cx:v>Count of OrderID</cx:v>
            </cx:txData>
          </cx:tx>
          <cx:dataLabels pos="outEnd">
            <cx:visibility seriesName="0" categoryName="0" value="1"/>
          </cx:dataLabels>
          <cx:dataId val="0"/>
          <cx:layoutPr>
            <cx:visibility connectorLines="0"/>
            <cx:subtotals/>
          </cx:layoutPr>
        </cx:series>
      </cx:plotAreaRegion>
      <cx:axis id="0">
        <cx:catScaling gapWidth="0.25"/>
        <cx:tickLabels/>
      </cx:axis>
      <cx:axis id="1" hidden="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strDim>
      <cx:numDim type="val">
        <cx:f>_xlchart.v5.5</cx:f>
      </cx:numDim>
    </cx:data>
  </cx:chartData>
  <cx:chart>
    <cx:title pos="t" align="ctr" overlay="0">
      <cx:tx>
        <cx:txData>
          <cx:v>MONTH WISE ORDER</cx:v>
        </cx:txData>
      </cx:tx>
      <cx:txPr>
        <a:bodyPr spcFirstLastPara="1" vertOverflow="ellipsis" horzOverflow="overflow" wrap="square" lIns="0" tIns="0" rIns="0" bIns="0" anchor="ctr" anchorCtr="1"/>
        <a:lstStyle/>
        <a:p>
          <a:pPr algn="ctr" rtl="0">
            <a:defRPr b="0">
              <a:ln>
                <a:solidFill>
                  <a:schemeClr val="bg1"/>
                </a:solidFill>
              </a:ln>
              <a:solidFill>
                <a:schemeClr val="bg1"/>
              </a:solidFill>
              <a:latin typeface="+mn-lt"/>
              <a:ea typeface="Arial Black" panose="020B0A04020102020204" pitchFamily="34" charset="0"/>
              <a:cs typeface="Arial Black" panose="020B0A04020102020204" pitchFamily="34" charset="0"/>
            </a:defRPr>
          </a:pPr>
          <a:r>
            <a:rPr lang="en-US" sz="1800" b="0" i="0" u="none" strike="noStrike" baseline="0">
              <a:ln>
                <a:solidFill>
                  <a:schemeClr val="bg1"/>
                </a:solidFill>
              </a:ln>
              <a:solidFill>
                <a:schemeClr val="bg1"/>
              </a:solidFill>
              <a:latin typeface="+mn-lt"/>
            </a:rPr>
            <a:t>MONTH WISE ORDER</a:t>
          </a:r>
        </a:p>
      </cx:txPr>
    </cx:title>
    <cx:plotArea>
      <cx:plotAreaRegion>
        <cx:series layoutId="waterfall" uniqueId="{00000000-6DC5-4FC4-A113-840AB5A5A639}">
          <cx:tx>
            <cx:txData>
              <cx:f>_xlchart.v5.4</cx:f>
              <cx:v>Count of OrderID</cx:v>
            </cx:txData>
          </cx:tx>
          <cx:dataPt idx="0">
            <cx:spPr>
              <a:solidFill>
                <a:srgbClr val="FFFF00"/>
              </a:solidFill>
            </cx:spPr>
          </cx:dataPt>
          <cx:dataPt idx="1">
            <cx:spPr>
              <a:solidFill>
                <a:srgbClr val="FFFF00"/>
              </a:solidFill>
            </cx:spPr>
          </cx:dataPt>
          <cx:dataLabels pos="outEnd">
            <cx:txPr>
              <a:bodyPr vertOverflow="overflow" horzOverflow="overflow" wrap="square" lIns="0" tIns="0" rIns="0" bIns="0"/>
              <a:lstStyle/>
              <a:p>
                <a:pPr algn="ctr" rtl="0">
                  <a:defRPr sz="900" b="0" i="0">
                    <a:ln>
                      <a:solidFill>
                        <a:schemeClr val="bg1"/>
                      </a:solidFill>
                    </a:ln>
                    <a:solidFill>
                      <a:schemeClr val="bg1"/>
                    </a:solidFill>
                    <a:latin typeface="+mn-lt"/>
                    <a:ea typeface="Arial Black" panose="020B0A04020102020204" pitchFamily="34" charset="0"/>
                    <a:cs typeface="Arial Black" panose="020B0A04020102020204" pitchFamily="34" charset="0"/>
                  </a:defRPr>
                </a:pPr>
                <a:endParaRPr lang="en-IN" b="0">
                  <a:ln>
                    <a:solidFill>
                      <a:schemeClr val="bg1"/>
                    </a:solidFill>
                  </a:ln>
                  <a:solidFill>
                    <a:schemeClr val="bg1"/>
                  </a:solidFill>
                  <a:latin typeface="+mn-lt"/>
                </a:endParaRPr>
              </a:p>
            </cx:txPr>
            <cx:visibility seriesName="0" categoryName="0" value="1"/>
          </cx:dataLabels>
          <cx:dataId val="0"/>
          <cx:layoutPr>
            <cx:visibility connectorLines="0"/>
            <cx:subtotals/>
          </cx:layoutPr>
        </cx:series>
      </cx:plotAreaRegion>
      <cx:axis id="0">
        <cx:catScaling gapWidth="0.25"/>
        <cx:tickLabels/>
        <cx:txPr>
          <a:bodyPr vertOverflow="overflow" horzOverflow="overflow" wrap="square" lIns="0" tIns="0" rIns="0" bIns="0"/>
          <a:lstStyle/>
          <a:p>
            <a:pPr algn="ctr" rtl="0">
              <a:defRPr sz="900" b="0" i="0">
                <a:ln>
                  <a:solidFill>
                    <a:schemeClr val="bg1"/>
                  </a:solidFill>
                </a:ln>
                <a:solidFill>
                  <a:schemeClr val="bg1"/>
                </a:solidFill>
                <a:latin typeface="+mn-lt"/>
                <a:ea typeface="Arial Black" panose="020B0A04020102020204" pitchFamily="34" charset="0"/>
                <a:cs typeface="Arial Black" panose="020B0A04020102020204" pitchFamily="34" charset="0"/>
              </a:defRPr>
            </a:pPr>
            <a:endParaRPr lang="en-IN" b="0">
              <a:ln>
                <a:solidFill>
                  <a:schemeClr val="bg1"/>
                </a:solidFill>
              </a:ln>
              <a:solidFill>
                <a:schemeClr val="bg1"/>
              </a:solidFill>
              <a:latin typeface="+mn-lt"/>
            </a:endParaRPr>
          </a:p>
        </cx:txPr>
      </cx:axis>
      <cx:axis id="1" hidden="1">
        <cx:valScaling/>
        <cx:tickLabels/>
        <cx:txPr>
          <a:bodyPr vertOverflow="overflow" horzOverflow="overflow" wrap="square" lIns="0" tIns="0" rIns="0" bIns="0"/>
          <a:lstStyle/>
          <a:p>
            <a:pPr algn="ctr" rtl="0">
              <a:defRPr sz="900" b="0" i="0">
                <a:ln>
                  <a:solidFill>
                    <a:schemeClr val="bg1"/>
                  </a:solidFill>
                </a:ln>
                <a:solidFill>
                  <a:schemeClr val="bg1"/>
                </a:solidFill>
                <a:latin typeface="+mn-lt"/>
                <a:ea typeface="Arial Black" panose="020B0A04020102020204" pitchFamily="34" charset="0"/>
                <a:cs typeface="Arial Black" panose="020B0A04020102020204" pitchFamily="34" charset="0"/>
              </a:defRPr>
            </a:pPr>
            <a:endParaRPr lang="en-IN" b="0">
              <a:ln>
                <a:solidFill>
                  <a:schemeClr val="bg1"/>
                </a:solidFill>
              </a:ln>
              <a:solidFill>
                <a:schemeClr val="bg1"/>
              </a:solidFill>
              <a:latin typeface="+mn-lt"/>
            </a:endParaRPr>
          </a:p>
        </cx:txPr>
      </cx:axis>
    </cx:plotArea>
    <cx:legend pos="t" align="ctr" overlay="0">
      <cx:spPr>
        <a:noFill/>
      </cx:spPr>
      <cx:txPr>
        <a:bodyPr vertOverflow="overflow" horzOverflow="overflow" wrap="square" lIns="0" tIns="0" rIns="0" bIns="0"/>
        <a:lstStyle/>
        <a:p>
          <a:pPr algn="ctr" rtl="0">
            <a:defRPr sz="900" b="0" i="0">
              <a:ln>
                <a:solidFill>
                  <a:schemeClr val="bg1"/>
                </a:solidFill>
              </a:ln>
              <a:solidFill>
                <a:schemeClr val="bg1"/>
              </a:solidFill>
              <a:latin typeface="+mn-lt"/>
              <a:ea typeface="Arial Black" panose="020B0A04020102020204" pitchFamily="34" charset="0"/>
              <a:cs typeface="Arial Black" panose="020B0A04020102020204" pitchFamily="34" charset="0"/>
            </a:defRPr>
          </a:pPr>
          <a:endParaRPr lang="en-IN" b="0">
            <a:ln>
              <a:solidFill>
                <a:schemeClr val="bg1"/>
              </a:solidFill>
            </a:ln>
            <a:solidFill>
              <a:schemeClr val="bg1"/>
            </a:solidFill>
            <a:latin typeface="+mn-lt"/>
          </a:endParaRPr>
        </a:p>
      </cx:txPr>
    </cx:legend>
  </cx:chart>
  <cx:spPr>
    <a:noFill/>
    <a:ln>
      <a:noFill/>
    </a:ln>
  </cx:spPr>
  <cx:fmtOvrs>
    <cx:fmtOvr idx="0">
      <cx:spPr>
        <a:solidFill>
          <a:srgbClr val="FFFF00"/>
        </a:solidFill>
      </cx:spPr>
    </cx:fmtOvr>
    <cx:fmtOvr idx="1">
      <cx:spPr>
        <a:solidFill>
          <a:srgbClr val="FF0000"/>
        </a:solidFill>
      </cx:spPr>
    </cx:fmtOvr>
    <cx:fmtOvr idx="2">
      <cx:spPr>
        <a:solidFill>
          <a:schemeClr val="tx1"/>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371476</xdr:colOff>
      <xdr:row>3</xdr:row>
      <xdr:rowOff>128587</xdr:rowOff>
    </xdr:from>
    <xdr:to>
      <xdr:col>7</xdr:col>
      <xdr:colOff>276226</xdr:colOff>
      <xdr:row>18</xdr:row>
      <xdr:rowOff>14287</xdr:rowOff>
    </xdr:to>
    <xdr:graphicFrame macro="">
      <xdr:nvGraphicFramePr>
        <xdr:cNvPr id="2" name="Chart 1">
          <a:extLst>
            <a:ext uri="{FF2B5EF4-FFF2-40B4-BE49-F238E27FC236}">
              <a16:creationId xmlns:a16="http://schemas.microsoft.com/office/drawing/2014/main" id="{F22DDDF1-D091-D022-532E-0566B00D5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142875</xdr:colOff>
      <xdr:row>0</xdr:row>
      <xdr:rowOff>95250</xdr:rowOff>
    </xdr:from>
    <xdr:to>
      <xdr:col>14</xdr:col>
      <xdr:colOff>142875</xdr:colOff>
      <xdr:row>13</xdr:row>
      <xdr:rowOff>142875</xdr:rowOff>
    </xdr:to>
    <mc:AlternateContent xmlns:mc="http://schemas.openxmlformats.org/markup-compatibility/2006">
      <mc:Choice xmlns:a14="http://schemas.microsoft.com/office/drawing/2010/main" Requires="a14">
        <xdr:graphicFrame macro="">
          <xdr:nvGraphicFramePr>
            <xdr:cNvPr id="3" name="Cuisine">
              <a:extLst>
                <a:ext uri="{FF2B5EF4-FFF2-40B4-BE49-F238E27FC236}">
                  <a16:creationId xmlns:a16="http://schemas.microsoft.com/office/drawing/2014/main" id="{CB0B6171-18C4-8836-8F55-8F3AA9F3897B}"/>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dr:sp macro="" textlink="">
          <xdr:nvSpPr>
            <xdr:cNvPr id="0" name=""/>
            <xdr:cNvSpPr>
              <a:spLocks noTextEdit="1"/>
            </xdr:cNvSpPr>
          </xdr:nvSpPr>
          <xdr:spPr>
            <a:xfrm>
              <a:off x="7581900" y="95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0</xdr:row>
      <xdr:rowOff>76200</xdr:rowOff>
    </xdr:from>
    <xdr:to>
      <xdr:col>11</xdr:col>
      <xdr:colOff>0</xdr:colOff>
      <xdr:row>13</xdr:row>
      <xdr:rowOff>123825</xdr:rowOff>
    </xdr:to>
    <mc:AlternateContent xmlns:mc="http://schemas.openxmlformats.org/markup-compatibility/2006">
      <mc:Choice xmlns:a14="http://schemas.microsoft.com/office/drawing/2010/main" Requires="a14">
        <xdr:graphicFrame macro="">
          <xdr:nvGraphicFramePr>
            <xdr:cNvPr id="4" name="Months (OrderDate)">
              <a:extLst>
                <a:ext uri="{FF2B5EF4-FFF2-40B4-BE49-F238E27FC236}">
                  <a16:creationId xmlns:a16="http://schemas.microsoft.com/office/drawing/2014/main" id="{F44E8C5D-1633-6B09-F774-E482490DA6BD}"/>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5610225" y="76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485775</xdr:colOff>
      <xdr:row>1</xdr:row>
      <xdr:rowOff>23812</xdr:rowOff>
    </xdr:from>
    <xdr:to>
      <xdr:col>13</xdr:col>
      <xdr:colOff>180975</xdr:colOff>
      <xdr:row>15</xdr:row>
      <xdr:rowOff>100012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0C7EDC5-8DF8-F57D-666B-CCC9E5C7A8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67275" y="2143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0</xdr:row>
      <xdr:rowOff>47626</xdr:rowOff>
    </xdr:from>
    <xdr:to>
      <xdr:col>6</xdr:col>
      <xdr:colOff>400050</xdr:colOff>
      <xdr:row>0</xdr:row>
      <xdr:rowOff>561975</xdr:rowOff>
    </xdr:to>
    <xdr:sp macro="" textlink="">
      <xdr:nvSpPr>
        <xdr:cNvPr id="2" name="Rectangle: Rounded Corners 1">
          <a:extLst>
            <a:ext uri="{FF2B5EF4-FFF2-40B4-BE49-F238E27FC236}">
              <a16:creationId xmlns:a16="http://schemas.microsoft.com/office/drawing/2014/main" id="{204F2F4B-03A7-76EE-AE19-794DF43CDAE2}"/>
            </a:ext>
          </a:extLst>
        </xdr:cNvPr>
        <xdr:cNvSpPr/>
      </xdr:nvSpPr>
      <xdr:spPr>
        <a:xfrm>
          <a:off x="57150" y="47626"/>
          <a:ext cx="4000500" cy="514349"/>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i="1"/>
            <a:t>Food Delivery Analytics Dashboard</a:t>
          </a:r>
          <a:endParaRPr lang="en-IN" sz="1100" b="1"/>
        </a:p>
      </xdr:txBody>
    </xdr:sp>
    <xdr:clientData/>
  </xdr:twoCellAnchor>
  <xdr:twoCellAnchor>
    <xdr:from>
      <xdr:col>6</xdr:col>
      <xdr:colOff>466725</xdr:colOff>
      <xdr:row>0</xdr:row>
      <xdr:rowOff>47626</xdr:rowOff>
    </xdr:from>
    <xdr:to>
      <xdr:col>10</xdr:col>
      <xdr:colOff>371475</xdr:colOff>
      <xdr:row>0</xdr:row>
      <xdr:rowOff>542925</xdr:rowOff>
    </xdr:to>
    <xdr:sp macro="" textlink="">
      <xdr:nvSpPr>
        <xdr:cNvPr id="3" name="Rectangle: Rounded Corners 2">
          <a:extLst>
            <a:ext uri="{FF2B5EF4-FFF2-40B4-BE49-F238E27FC236}">
              <a16:creationId xmlns:a16="http://schemas.microsoft.com/office/drawing/2014/main" id="{62B7EE38-5E5E-4E59-9404-A747D07A0AA4}"/>
            </a:ext>
          </a:extLst>
        </xdr:cNvPr>
        <xdr:cNvSpPr/>
      </xdr:nvSpPr>
      <xdr:spPr>
        <a:xfrm>
          <a:off x="4124325" y="47626"/>
          <a:ext cx="2343150" cy="495299"/>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a:t>Min. order value</a:t>
          </a:r>
          <a:endParaRPr lang="en-IN" sz="1100" b="1" i="0"/>
        </a:p>
      </xdr:txBody>
    </xdr:sp>
    <xdr:clientData/>
  </xdr:twoCellAnchor>
  <xdr:twoCellAnchor>
    <xdr:from>
      <xdr:col>10</xdr:col>
      <xdr:colOff>428625</xdr:colOff>
      <xdr:row>0</xdr:row>
      <xdr:rowOff>47625</xdr:rowOff>
    </xdr:from>
    <xdr:to>
      <xdr:col>14</xdr:col>
      <xdr:colOff>352425</xdr:colOff>
      <xdr:row>0</xdr:row>
      <xdr:rowOff>552450</xdr:rowOff>
    </xdr:to>
    <xdr:sp macro="" textlink="">
      <xdr:nvSpPr>
        <xdr:cNvPr id="6" name="Rectangle: Rounded Corners 5">
          <a:extLst>
            <a:ext uri="{FF2B5EF4-FFF2-40B4-BE49-F238E27FC236}">
              <a16:creationId xmlns:a16="http://schemas.microsoft.com/office/drawing/2014/main" id="{CC37FA35-ED1E-4E5A-91AB-E544D5F3F604}"/>
            </a:ext>
          </a:extLst>
        </xdr:cNvPr>
        <xdr:cNvSpPr/>
      </xdr:nvSpPr>
      <xdr:spPr>
        <a:xfrm>
          <a:off x="6524625" y="47625"/>
          <a:ext cx="2362200" cy="504825"/>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a:t>Max. order value</a:t>
          </a:r>
          <a:endParaRPr lang="en-IN" sz="1100" b="1" i="0"/>
        </a:p>
      </xdr:txBody>
    </xdr:sp>
    <xdr:clientData/>
  </xdr:twoCellAnchor>
  <xdr:twoCellAnchor>
    <xdr:from>
      <xdr:col>14</xdr:col>
      <xdr:colOff>390525</xdr:colOff>
      <xdr:row>0</xdr:row>
      <xdr:rowOff>57151</xdr:rowOff>
    </xdr:from>
    <xdr:to>
      <xdr:col>18</xdr:col>
      <xdr:colOff>295275</xdr:colOff>
      <xdr:row>0</xdr:row>
      <xdr:rowOff>552451</xdr:rowOff>
    </xdr:to>
    <xdr:sp macro="" textlink="">
      <xdr:nvSpPr>
        <xdr:cNvPr id="7" name="Rectangle: Rounded Corners 6">
          <a:extLst>
            <a:ext uri="{FF2B5EF4-FFF2-40B4-BE49-F238E27FC236}">
              <a16:creationId xmlns:a16="http://schemas.microsoft.com/office/drawing/2014/main" id="{71D67CEE-BC4E-49E8-A7BE-5F3AE26E97D7}"/>
            </a:ext>
          </a:extLst>
        </xdr:cNvPr>
        <xdr:cNvSpPr/>
      </xdr:nvSpPr>
      <xdr:spPr>
        <a:xfrm>
          <a:off x="8924925" y="57151"/>
          <a:ext cx="2343150" cy="495300"/>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i="0"/>
            <a:t>Avg. order value</a:t>
          </a:r>
          <a:endParaRPr lang="en-IN" sz="1100" b="1" i="0"/>
        </a:p>
      </xdr:txBody>
    </xdr:sp>
    <xdr:clientData/>
  </xdr:twoCellAnchor>
  <xdr:twoCellAnchor>
    <xdr:from>
      <xdr:col>0</xdr:col>
      <xdr:colOff>57150</xdr:colOff>
      <xdr:row>1</xdr:row>
      <xdr:rowOff>95249</xdr:rowOff>
    </xdr:from>
    <xdr:to>
      <xdr:col>6</xdr:col>
      <xdr:colOff>400050</xdr:colOff>
      <xdr:row>16</xdr:row>
      <xdr:rowOff>142874</xdr:rowOff>
    </xdr:to>
    <xdr:sp macro="" textlink="">
      <xdr:nvSpPr>
        <xdr:cNvPr id="11" name="Rectangle: Rounded Corners 10">
          <a:extLst>
            <a:ext uri="{FF2B5EF4-FFF2-40B4-BE49-F238E27FC236}">
              <a16:creationId xmlns:a16="http://schemas.microsoft.com/office/drawing/2014/main" id="{DECCF7EB-66FE-4DEC-8971-9D41D4BD850C}"/>
            </a:ext>
          </a:extLst>
        </xdr:cNvPr>
        <xdr:cNvSpPr/>
      </xdr:nvSpPr>
      <xdr:spPr>
        <a:xfrm>
          <a:off x="57150" y="695324"/>
          <a:ext cx="4000500" cy="2905125"/>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1"/>
        </a:p>
      </xdr:txBody>
    </xdr:sp>
    <xdr:clientData/>
  </xdr:twoCellAnchor>
  <xdr:twoCellAnchor>
    <xdr:from>
      <xdr:col>8</xdr:col>
      <xdr:colOff>476249</xdr:colOff>
      <xdr:row>0</xdr:row>
      <xdr:rowOff>104775</xdr:rowOff>
    </xdr:from>
    <xdr:to>
      <xdr:col>10</xdr:col>
      <xdr:colOff>542924</xdr:colOff>
      <xdr:row>0</xdr:row>
      <xdr:rowOff>504825</xdr:rowOff>
    </xdr:to>
    <xdr:sp macro="" textlink="KPI!F3">
      <xdr:nvSpPr>
        <xdr:cNvPr id="12" name="Flowchart: Terminator 11">
          <a:extLst>
            <a:ext uri="{FF2B5EF4-FFF2-40B4-BE49-F238E27FC236}">
              <a16:creationId xmlns:a16="http://schemas.microsoft.com/office/drawing/2014/main" id="{0073E0D6-3565-43D5-8937-4FFA232DA427}"/>
            </a:ext>
          </a:extLst>
        </xdr:cNvPr>
        <xdr:cNvSpPr/>
      </xdr:nvSpPr>
      <xdr:spPr>
        <a:xfrm>
          <a:off x="5353049" y="104775"/>
          <a:ext cx="1285875" cy="400050"/>
        </a:xfrm>
        <a:prstGeom prst="flowChartTerminator">
          <a:avLst/>
        </a:prstGeom>
        <a:no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algn="ctr"/>
          <a:fld id="{BE5F7A6E-1A68-4F1E-9288-165FAD005CF5}" type="TxLink">
            <a:rPr lang="en-US" sz="1800" b="1" i="0" u="none" strike="noStrike" cap="none" spc="0">
              <a:ln/>
              <a:solidFill>
                <a:schemeClr val="bg1"/>
              </a:solidFill>
              <a:effectLst/>
              <a:latin typeface="Arial Black" panose="020B0A04020102020204" pitchFamily="34" charset="0"/>
              <a:cs typeface="Calibri"/>
            </a:rPr>
            <a:t> ₹ 180 </a:t>
          </a:fld>
          <a:endParaRPr lang="en-IN" sz="9600" b="1" u="sng" cap="none" spc="0">
            <a:ln/>
            <a:solidFill>
              <a:schemeClr val="bg1"/>
            </a:solidFill>
            <a:effectLst/>
            <a:latin typeface="Arial Black" panose="020B0A04020102020204" pitchFamily="34" charset="0"/>
          </a:endParaRPr>
        </a:p>
      </xdr:txBody>
    </xdr:sp>
    <xdr:clientData/>
  </xdr:twoCellAnchor>
  <xdr:twoCellAnchor>
    <xdr:from>
      <xdr:col>12</xdr:col>
      <xdr:colOff>457199</xdr:colOff>
      <xdr:row>0</xdr:row>
      <xdr:rowOff>104776</xdr:rowOff>
    </xdr:from>
    <xdr:to>
      <xdr:col>14</xdr:col>
      <xdr:colOff>523874</xdr:colOff>
      <xdr:row>0</xdr:row>
      <xdr:rowOff>504826</xdr:rowOff>
    </xdr:to>
    <xdr:sp macro="" textlink="KPI!F4">
      <xdr:nvSpPr>
        <xdr:cNvPr id="13" name="Flowchart: Terminator 12">
          <a:extLst>
            <a:ext uri="{FF2B5EF4-FFF2-40B4-BE49-F238E27FC236}">
              <a16:creationId xmlns:a16="http://schemas.microsoft.com/office/drawing/2014/main" id="{C11CE16E-DB3E-4080-A526-CD6C97323A95}"/>
            </a:ext>
          </a:extLst>
        </xdr:cNvPr>
        <xdr:cNvSpPr/>
      </xdr:nvSpPr>
      <xdr:spPr>
        <a:xfrm>
          <a:off x="7772399" y="104776"/>
          <a:ext cx="1285875" cy="400050"/>
        </a:xfrm>
        <a:prstGeom prst="flowChartTerminator">
          <a:avLst/>
        </a:prstGeom>
        <a:no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algn="ctr"/>
          <a:fld id="{8D203B35-1DD8-4851-BF50-A8000F64786B}" type="TxLink">
            <a:rPr lang="en-US" sz="1800" b="1" i="0" u="none" strike="noStrike" cap="none" spc="0">
              <a:ln/>
              <a:solidFill>
                <a:schemeClr val="bg1"/>
              </a:solidFill>
              <a:effectLst/>
              <a:latin typeface="Arial Black" panose="020B0A04020102020204" pitchFamily="34" charset="0"/>
              <a:cs typeface="Calibri"/>
            </a:rPr>
            <a:t> ₹ 500 </a:t>
          </a:fld>
          <a:endParaRPr lang="en-IN" sz="19900" b="1" u="sng" cap="none" spc="0">
            <a:ln/>
            <a:solidFill>
              <a:schemeClr val="bg1"/>
            </a:solidFill>
            <a:effectLst/>
            <a:latin typeface="Arial Black" panose="020B0A04020102020204" pitchFamily="34" charset="0"/>
          </a:endParaRPr>
        </a:p>
      </xdr:txBody>
    </xdr:sp>
    <xdr:clientData/>
  </xdr:twoCellAnchor>
  <xdr:twoCellAnchor>
    <xdr:from>
      <xdr:col>16</xdr:col>
      <xdr:colOff>390524</xdr:colOff>
      <xdr:row>0</xdr:row>
      <xdr:rowOff>114300</xdr:rowOff>
    </xdr:from>
    <xdr:to>
      <xdr:col>18</xdr:col>
      <xdr:colOff>457199</xdr:colOff>
      <xdr:row>0</xdr:row>
      <xdr:rowOff>495300</xdr:rowOff>
    </xdr:to>
    <xdr:sp macro="" textlink="KPI!F5">
      <xdr:nvSpPr>
        <xdr:cNvPr id="14" name="Flowchart: Terminator 13">
          <a:extLst>
            <a:ext uri="{FF2B5EF4-FFF2-40B4-BE49-F238E27FC236}">
              <a16:creationId xmlns:a16="http://schemas.microsoft.com/office/drawing/2014/main" id="{C4FB15FA-4631-4BDC-9C53-2853674A586C}"/>
            </a:ext>
          </a:extLst>
        </xdr:cNvPr>
        <xdr:cNvSpPr/>
      </xdr:nvSpPr>
      <xdr:spPr>
        <a:xfrm>
          <a:off x="10144124" y="114300"/>
          <a:ext cx="1285875" cy="381000"/>
        </a:xfrm>
        <a:prstGeom prst="flowChartTerminator">
          <a:avLst/>
        </a:prstGeom>
        <a:noFill/>
        <a:ln w="381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algn="ctr"/>
          <a:fld id="{BD485852-1A4D-4616-9041-A174AE94F95B}" type="TxLink">
            <a:rPr lang="en-US" sz="1800" b="0" i="0" u="none" strike="noStrike" cap="none" spc="0">
              <a:ln/>
              <a:solidFill>
                <a:schemeClr val="bg1"/>
              </a:solidFill>
              <a:effectLst/>
              <a:latin typeface="Arial Black" panose="020B0A04020102020204" pitchFamily="34" charset="0"/>
              <a:cs typeface="Calibri"/>
            </a:rPr>
            <a:t> ₹ 334 </a:t>
          </a:fld>
          <a:endParaRPr lang="en-IN" sz="19900" b="1" u="sng" cap="none" spc="0">
            <a:ln/>
            <a:solidFill>
              <a:schemeClr val="bg1"/>
            </a:solidFill>
            <a:effectLst/>
            <a:latin typeface="Arial Black" panose="020B0A04020102020204" pitchFamily="34" charset="0"/>
          </a:endParaRPr>
        </a:p>
      </xdr:txBody>
    </xdr:sp>
    <xdr:clientData/>
  </xdr:twoCellAnchor>
  <xdr:twoCellAnchor>
    <xdr:from>
      <xdr:col>0</xdr:col>
      <xdr:colOff>238124</xdr:colOff>
      <xdr:row>1</xdr:row>
      <xdr:rowOff>171450</xdr:rowOff>
    </xdr:from>
    <xdr:to>
      <xdr:col>6</xdr:col>
      <xdr:colOff>247649</xdr:colOff>
      <xdr:row>16</xdr:row>
      <xdr:rowOff>57150</xdr:rowOff>
    </xdr:to>
    <xdr:graphicFrame macro="">
      <xdr:nvGraphicFramePr>
        <xdr:cNvPr id="15" name="Chart 14">
          <a:extLst>
            <a:ext uri="{FF2B5EF4-FFF2-40B4-BE49-F238E27FC236}">
              <a16:creationId xmlns:a16="http://schemas.microsoft.com/office/drawing/2014/main" id="{207608D3-FA1D-4604-948B-1B5FCA54A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476250</xdr:colOff>
      <xdr:row>1</xdr:row>
      <xdr:rowOff>114299</xdr:rowOff>
    </xdr:from>
    <xdr:to>
      <xdr:col>14</xdr:col>
      <xdr:colOff>476250</xdr:colOff>
      <xdr:row>16</xdr:row>
      <xdr:rowOff>161924</xdr:rowOff>
    </xdr:to>
    <xdr:sp macro="" textlink="">
      <xdr:nvSpPr>
        <xdr:cNvPr id="16" name="Rectangle: Rounded Corners 15">
          <a:extLst>
            <a:ext uri="{FF2B5EF4-FFF2-40B4-BE49-F238E27FC236}">
              <a16:creationId xmlns:a16="http://schemas.microsoft.com/office/drawing/2014/main" id="{CCB30C88-0DB9-4FBF-9AD2-574FBEA2E8F0}"/>
            </a:ext>
          </a:extLst>
        </xdr:cNvPr>
        <xdr:cNvSpPr/>
      </xdr:nvSpPr>
      <xdr:spPr>
        <a:xfrm>
          <a:off x="4133850" y="714374"/>
          <a:ext cx="4876800" cy="2905125"/>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1"/>
        </a:p>
      </xdr:txBody>
    </xdr:sp>
    <xdr:clientData/>
  </xdr:twoCellAnchor>
  <xdr:twoCellAnchor>
    <xdr:from>
      <xdr:col>7</xdr:col>
      <xdr:colOff>19050</xdr:colOff>
      <xdr:row>1</xdr:row>
      <xdr:rowOff>104775</xdr:rowOff>
    </xdr:from>
    <xdr:to>
      <xdr:col>14</xdr:col>
      <xdr:colOff>323850</xdr:colOff>
      <xdr:row>15</xdr:row>
      <xdr:rowOff>180975</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C2174EFD-A02D-4597-8AEE-63D5569460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286250" y="7048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542925</xdr:colOff>
      <xdr:row>1</xdr:row>
      <xdr:rowOff>85724</xdr:rowOff>
    </xdr:from>
    <xdr:to>
      <xdr:col>18</xdr:col>
      <xdr:colOff>276225</xdr:colOff>
      <xdr:row>7</xdr:row>
      <xdr:rowOff>152400</xdr:rowOff>
    </xdr:to>
    <xdr:sp macro="" textlink="">
      <xdr:nvSpPr>
        <xdr:cNvPr id="18" name="Rectangle: Rounded Corners 17">
          <a:extLst>
            <a:ext uri="{FF2B5EF4-FFF2-40B4-BE49-F238E27FC236}">
              <a16:creationId xmlns:a16="http://schemas.microsoft.com/office/drawing/2014/main" id="{EEBB9B63-755E-406D-927D-3E9F546A5F0D}"/>
            </a:ext>
          </a:extLst>
        </xdr:cNvPr>
        <xdr:cNvSpPr/>
      </xdr:nvSpPr>
      <xdr:spPr>
        <a:xfrm>
          <a:off x="9077325" y="685799"/>
          <a:ext cx="2171700" cy="1209676"/>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1"/>
        </a:p>
      </xdr:txBody>
    </xdr:sp>
    <xdr:clientData/>
  </xdr:twoCellAnchor>
  <xdr:twoCellAnchor>
    <xdr:from>
      <xdr:col>14</xdr:col>
      <xdr:colOff>552450</xdr:colOff>
      <xdr:row>8</xdr:row>
      <xdr:rowOff>19051</xdr:rowOff>
    </xdr:from>
    <xdr:to>
      <xdr:col>18</xdr:col>
      <xdr:colOff>247650</xdr:colOff>
      <xdr:row>16</xdr:row>
      <xdr:rowOff>114301</xdr:rowOff>
    </xdr:to>
    <xdr:sp macro="" textlink="">
      <xdr:nvSpPr>
        <xdr:cNvPr id="19" name="Rectangle: Rounded Corners 18">
          <a:extLst>
            <a:ext uri="{FF2B5EF4-FFF2-40B4-BE49-F238E27FC236}">
              <a16:creationId xmlns:a16="http://schemas.microsoft.com/office/drawing/2014/main" id="{974EB4D0-0687-4A6C-BC22-CB87DC31C05E}"/>
            </a:ext>
          </a:extLst>
        </xdr:cNvPr>
        <xdr:cNvSpPr/>
      </xdr:nvSpPr>
      <xdr:spPr>
        <a:xfrm>
          <a:off x="9086850" y="1952626"/>
          <a:ext cx="2133600" cy="1619250"/>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b="1"/>
        </a:p>
      </xdr:txBody>
    </xdr:sp>
    <xdr:clientData/>
  </xdr:twoCellAnchor>
  <xdr:twoCellAnchor editAs="oneCell">
    <xdr:from>
      <xdr:col>15</xdr:col>
      <xdr:colOff>114300</xdr:colOff>
      <xdr:row>1</xdr:row>
      <xdr:rowOff>123826</xdr:rowOff>
    </xdr:from>
    <xdr:to>
      <xdr:col>18</xdr:col>
      <xdr:colOff>114300</xdr:colOff>
      <xdr:row>7</xdr:row>
      <xdr:rowOff>152400</xdr:rowOff>
    </xdr:to>
    <mc:AlternateContent xmlns:mc="http://schemas.openxmlformats.org/markup-compatibility/2006">
      <mc:Choice xmlns:a14="http://schemas.microsoft.com/office/drawing/2010/main" Requires="a14">
        <xdr:graphicFrame macro="">
          <xdr:nvGraphicFramePr>
            <xdr:cNvPr id="20" name="Cuisine 1">
              <a:extLst>
                <a:ext uri="{FF2B5EF4-FFF2-40B4-BE49-F238E27FC236}">
                  <a16:creationId xmlns:a16="http://schemas.microsoft.com/office/drawing/2014/main" id="{18F9B210-225C-4BAD-BB49-03CADE6423E6}"/>
                </a:ext>
              </a:extLst>
            </xdr:cNvPr>
            <xdr:cNvGraphicFramePr/>
          </xdr:nvGraphicFramePr>
          <xdr:xfrm>
            <a:off x="0" y="0"/>
            <a:ext cx="0" cy="0"/>
          </xdr:xfrm>
          <a:graphic>
            <a:graphicData uri="http://schemas.microsoft.com/office/drawing/2010/slicer">
              <sle:slicer xmlns:sle="http://schemas.microsoft.com/office/drawing/2010/slicer" name="Cuisine 1"/>
            </a:graphicData>
          </a:graphic>
        </xdr:graphicFrame>
      </mc:Choice>
      <mc:Fallback>
        <xdr:sp macro="" textlink="">
          <xdr:nvSpPr>
            <xdr:cNvPr id="0" name=""/>
            <xdr:cNvSpPr>
              <a:spLocks noTextEdit="1"/>
            </xdr:cNvSpPr>
          </xdr:nvSpPr>
          <xdr:spPr>
            <a:xfrm>
              <a:off x="9258300" y="723901"/>
              <a:ext cx="1828800" cy="1171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76200</xdr:colOff>
      <xdr:row>8</xdr:row>
      <xdr:rowOff>114300</xdr:rowOff>
    </xdr:from>
    <xdr:to>
      <xdr:col>18</xdr:col>
      <xdr:colOff>76200</xdr:colOff>
      <xdr:row>16</xdr:row>
      <xdr:rowOff>85725</xdr:rowOff>
    </xdr:to>
    <mc:AlternateContent xmlns:mc="http://schemas.openxmlformats.org/markup-compatibility/2006">
      <mc:Choice xmlns:a14="http://schemas.microsoft.com/office/drawing/2010/main" Requires="a14">
        <xdr:graphicFrame macro="">
          <xdr:nvGraphicFramePr>
            <xdr:cNvPr id="21" name="Months (OrderDate) 1">
              <a:extLst>
                <a:ext uri="{FF2B5EF4-FFF2-40B4-BE49-F238E27FC236}">
                  <a16:creationId xmlns:a16="http://schemas.microsoft.com/office/drawing/2014/main" id="{4D2C4012-092D-498B-9B17-F55F60281907}"/>
                </a:ext>
              </a:extLst>
            </xdr:cNvPr>
            <xdr:cNvGraphicFramePr/>
          </xdr:nvGraphicFramePr>
          <xdr:xfrm>
            <a:off x="0" y="0"/>
            <a:ext cx="0" cy="0"/>
          </xdr:xfrm>
          <a:graphic>
            <a:graphicData uri="http://schemas.microsoft.com/office/drawing/2010/slicer">
              <sle:slicer xmlns:sle="http://schemas.microsoft.com/office/drawing/2010/slicer" name="Months (OrderDate) 1"/>
            </a:graphicData>
          </a:graphic>
        </xdr:graphicFrame>
      </mc:Choice>
      <mc:Fallback>
        <xdr:sp macro="" textlink="">
          <xdr:nvSpPr>
            <xdr:cNvPr id="0" name=""/>
            <xdr:cNvSpPr>
              <a:spLocks noTextEdit="1"/>
            </xdr:cNvSpPr>
          </xdr:nvSpPr>
          <xdr:spPr>
            <a:xfrm>
              <a:off x="9220200" y="2047875"/>
              <a:ext cx="1828800"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76199</xdr:colOff>
      <xdr:row>17</xdr:row>
      <xdr:rowOff>47625</xdr:rowOff>
    </xdr:from>
    <xdr:to>
      <xdr:col>18</xdr:col>
      <xdr:colOff>428624</xdr:colOff>
      <xdr:row>23</xdr:row>
      <xdr:rowOff>171450</xdr:rowOff>
    </xdr:to>
    <xdr:sp macro="" textlink="">
      <xdr:nvSpPr>
        <xdr:cNvPr id="22" name="Rectangle: Rounded Corners 21">
          <a:extLst>
            <a:ext uri="{FF2B5EF4-FFF2-40B4-BE49-F238E27FC236}">
              <a16:creationId xmlns:a16="http://schemas.microsoft.com/office/drawing/2014/main" id="{98BA9C11-8A0C-4A60-9782-29319FE856B9}"/>
            </a:ext>
          </a:extLst>
        </xdr:cNvPr>
        <xdr:cNvSpPr/>
      </xdr:nvSpPr>
      <xdr:spPr>
        <a:xfrm>
          <a:off x="76199" y="3695700"/>
          <a:ext cx="11325225" cy="1266825"/>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Key</a:t>
          </a:r>
          <a:r>
            <a:rPr lang="en-IN" sz="2400" baseline="0"/>
            <a:t> Insights:-</a:t>
          </a:r>
        </a:p>
        <a:p>
          <a:pPr algn="l"/>
          <a:r>
            <a:rPr lang="en-IN" sz="1800"/>
            <a:t>Italian cuisine customers are willing to spend more — premium combos or loyalty rewards could work well.</a:t>
          </a:r>
        </a:p>
        <a:p>
          <a:pPr algn="l"/>
          <a:r>
            <a:rPr lang="en-IN" sz="1800"/>
            <a:t>Indian cuisine is the backbone of volume, so discounts or festival offers could boost engagement.</a:t>
          </a:r>
          <a:endParaRPr lang="en-IN" sz="1800" b="1">
            <a:solidFill>
              <a:schemeClr val="bg1"/>
            </a:solidFill>
            <a:latin typeface="Arial Black" panose="020B0A040201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3.321147337963" createdVersion="8" refreshedVersion="8" minRefreshableVersion="3" recordCount="50" xr:uid="{5333E20C-B541-49FE-9A65-87E32BD6A73F}">
  <cacheSource type="worksheet">
    <worksheetSource ref="A1:E51" sheet="Sheet1"/>
  </cacheSource>
  <cacheFields count="7">
    <cacheField name="OrderID" numFmtId="0">
      <sharedItems containsSemiMixedTypes="0" containsString="0" containsNumber="1" containsInteger="1" minValue="1001" maxValue="1050" count="5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sharedItems>
    </cacheField>
    <cacheField name="Customer" numFmtId="0">
      <sharedItems/>
    </cacheField>
    <cacheField name="Cuisine" numFmtId="0">
      <sharedItems count="3">
        <s v="Indian"/>
        <s v="Chinese"/>
        <s v="Italian"/>
      </sharedItems>
    </cacheField>
    <cacheField name="OrderAmount" numFmtId="169">
      <sharedItems containsSemiMixedTypes="0" containsString="0" containsNumber="1" containsInteger="1" minValue="180" maxValue="500"/>
    </cacheField>
    <cacheField name="OrderDate" numFmtId="15">
      <sharedItems containsSemiMixedTypes="0" containsNonDate="0" containsDate="1" containsString="0" minDate="2026-01-05T00:00:00" maxDate="2027-01-01T00:00:00" count="50">
        <d v="2026-01-05T00:00:00"/>
        <d v="2026-01-12T00:00:00"/>
        <d v="2026-01-20T00:00:00"/>
        <d v="2026-02-02T00:00:00"/>
        <d v="2026-02-10T00:00:00"/>
        <d v="2026-02-18T00:00:00"/>
        <d v="2026-02-25T00:00:00"/>
        <d v="2026-02-28T00:00:00"/>
        <d v="2026-03-03T00:00:00"/>
        <d v="2026-03-11T00:00:00"/>
        <d v="2026-03-19T00:00:00"/>
        <d v="2026-04-04T00:00:00"/>
        <d v="2026-04-06T00:00:00"/>
        <d v="2026-04-12T00:00:00"/>
        <d v="2026-04-20T00:00:00"/>
        <d v="2026-04-27T00:00:00"/>
        <d v="2026-04-28T00:00:00"/>
        <d v="2026-05-14T00:00:00"/>
        <d v="2026-05-22T00:00:00"/>
        <d v="2026-05-30T00:00:00"/>
        <d v="2026-06-07T00:00:00"/>
        <d v="2026-06-15T00:00:00"/>
        <d v="2026-06-23T00:00:00"/>
        <d v="2026-07-01T00:00:00"/>
        <d v="2026-07-09T00:00:00"/>
        <d v="2026-07-17T00:00:00"/>
        <d v="2026-08-02T00:00:00"/>
        <d v="2026-08-10T00:00:00"/>
        <d v="2026-08-18T00:00:00"/>
        <d v="2026-08-25T00:00:00"/>
        <d v="2026-08-26T00:00:00"/>
        <d v="2026-09-03T00:00:00"/>
        <d v="2026-09-11T00:00:00"/>
        <d v="2026-09-19T00:00:00"/>
        <d v="2026-09-27T00:00:00"/>
        <d v="2026-10-05T00:00:00"/>
        <d v="2026-10-13T00:00:00"/>
        <d v="2026-10-21T00:00:00"/>
        <d v="2026-10-29T00:00:00"/>
        <d v="2026-11-06T00:00:00"/>
        <d v="2026-11-14T00:00:00"/>
        <d v="2026-11-22T00:00:00"/>
        <d v="2026-11-30T00:00:00"/>
        <d v="2026-12-08T00:00:00"/>
        <d v="2026-12-16T00:00:00"/>
        <d v="2026-12-24T00:00:00"/>
        <d v="2026-12-28T00:00:00"/>
        <d v="2026-12-29T00:00:00"/>
        <d v="2026-12-30T00:00:00"/>
        <d v="2026-12-31T00:00:00"/>
      </sharedItems>
      <fieldGroup par="6"/>
    </cacheField>
    <cacheField name="Days (OrderDate)" numFmtId="0" databaseField="0">
      <fieldGroup base="4">
        <rangePr groupBy="days" startDate="2026-01-05T00:00:00" endDate="2027-01-01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OrderDate)" numFmtId="0" databaseField="0">
      <fieldGroup base="4">
        <rangePr groupBy="months" startDate="2026-01-05T00:00:00" endDate="2027-01-01T00:00:00"/>
        <groupItems count="14">
          <s v="&lt;05-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20204985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s v="Asha"/>
    <x v="0"/>
    <n v="250"/>
    <x v="0"/>
  </r>
  <r>
    <x v="1"/>
    <s v="Rohan"/>
    <x v="0"/>
    <n v="320"/>
    <x v="1"/>
  </r>
  <r>
    <x v="2"/>
    <s v="Priya"/>
    <x v="0"/>
    <n v="450"/>
    <x v="2"/>
  </r>
  <r>
    <x v="3"/>
    <s v="Sneha"/>
    <x v="0"/>
    <n v="290"/>
    <x v="3"/>
  </r>
  <r>
    <x v="4"/>
    <s v="Arjun"/>
    <x v="1"/>
    <n v="500"/>
    <x v="4"/>
  </r>
  <r>
    <x v="5"/>
    <s v="Kavya"/>
    <x v="0"/>
    <n v="220"/>
    <x v="5"/>
  </r>
  <r>
    <x v="6"/>
    <s v="Dev"/>
    <x v="1"/>
    <n v="310"/>
    <x v="6"/>
  </r>
  <r>
    <x v="7"/>
    <s v="Mehul"/>
    <x v="0"/>
    <n v="180"/>
    <x v="7"/>
  </r>
  <r>
    <x v="8"/>
    <s v="Neha"/>
    <x v="1"/>
    <n v="410"/>
    <x v="8"/>
  </r>
  <r>
    <x v="9"/>
    <s v="Rahul"/>
    <x v="0"/>
    <n v="270"/>
    <x v="9"/>
  </r>
  <r>
    <x v="10"/>
    <s v="Ananya"/>
    <x v="1"/>
    <n v="330"/>
    <x v="10"/>
  </r>
  <r>
    <x v="11"/>
    <s v="Isha"/>
    <x v="0"/>
    <n v="240"/>
    <x v="11"/>
  </r>
  <r>
    <x v="12"/>
    <s v="Pooja"/>
    <x v="1"/>
    <n v="350"/>
    <x v="12"/>
  </r>
  <r>
    <x v="13"/>
    <s v="Manav"/>
    <x v="1"/>
    <n v="300"/>
    <x v="13"/>
  </r>
  <r>
    <x v="14"/>
    <s v="Tanya"/>
    <x v="0"/>
    <n v="480"/>
    <x v="14"/>
  </r>
  <r>
    <x v="15"/>
    <s v="Varun"/>
    <x v="0"/>
    <n v="460"/>
    <x v="15"/>
  </r>
  <r>
    <x v="16"/>
    <s v="Aarav"/>
    <x v="0"/>
    <n v="260"/>
    <x v="16"/>
  </r>
  <r>
    <x v="17"/>
    <s v="Karan"/>
    <x v="0"/>
    <n v="420"/>
    <x v="17"/>
  </r>
  <r>
    <x v="18"/>
    <s v="Riya"/>
    <x v="0"/>
    <n v="210"/>
    <x v="18"/>
  </r>
  <r>
    <x v="19"/>
    <s v="Mohit"/>
    <x v="1"/>
    <n v="280"/>
    <x v="19"/>
  </r>
  <r>
    <x v="20"/>
    <s v="Simran"/>
    <x v="2"/>
    <n v="470"/>
    <x v="20"/>
  </r>
  <r>
    <x v="21"/>
    <s v="Aditya"/>
    <x v="0"/>
    <n v="230"/>
    <x v="21"/>
  </r>
  <r>
    <x v="22"/>
    <s v="Nisha"/>
    <x v="1"/>
    <n v="310"/>
    <x v="22"/>
  </r>
  <r>
    <x v="23"/>
    <s v="Vivek"/>
    <x v="2"/>
    <n v="440"/>
    <x v="23"/>
  </r>
  <r>
    <x v="24"/>
    <s v="Shruti"/>
    <x v="0"/>
    <n v="260"/>
    <x v="24"/>
  </r>
  <r>
    <x v="25"/>
    <s v="Aman"/>
    <x v="1"/>
    <n v="340"/>
    <x v="25"/>
  </r>
  <r>
    <x v="26"/>
    <s v="Meera"/>
    <x v="0"/>
    <n v="220"/>
    <x v="26"/>
  </r>
  <r>
    <x v="27"/>
    <s v="Deepak"/>
    <x v="1"/>
    <n v="300"/>
    <x v="27"/>
  </r>
  <r>
    <x v="28"/>
    <s v="Alia"/>
    <x v="2"/>
    <n v="450"/>
    <x v="28"/>
  </r>
  <r>
    <x v="29"/>
    <s v="Sanjay"/>
    <x v="2"/>
    <n v="490"/>
    <x v="29"/>
  </r>
  <r>
    <x v="30"/>
    <s v="Rohit"/>
    <x v="0"/>
    <n v="280"/>
    <x v="30"/>
  </r>
  <r>
    <x v="31"/>
    <s v="Sanya"/>
    <x v="1"/>
    <n v="320"/>
    <x v="31"/>
  </r>
  <r>
    <x v="32"/>
    <s v="Harsh"/>
    <x v="2"/>
    <n v="460"/>
    <x v="32"/>
  </r>
  <r>
    <x v="33"/>
    <s v="Anjali"/>
    <x v="0"/>
    <n v="250"/>
    <x v="33"/>
  </r>
  <r>
    <x v="34"/>
    <s v="Yash"/>
    <x v="1"/>
    <n v="310"/>
    <x v="34"/>
  </r>
  <r>
    <x v="35"/>
    <s v="Kriti"/>
    <x v="2"/>
    <n v="430"/>
    <x v="35"/>
  </r>
  <r>
    <x v="36"/>
    <s v="Arnav"/>
    <x v="0"/>
    <n v="270"/>
    <x v="36"/>
  </r>
  <r>
    <x v="37"/>
    <s v="Bhavna"/>
    <x v="1"/>
    <n v="290"/>
    <x v="37"/>
  </r>
  <r>
    <x v="38"/>
    <s v="Dhruv"/>
    <x v="2"/>
    <n v="480"/>
    <x v="38"/>
  </r>
  <r>
    <x v="39"/>
    <s v="Snehal"/>
    <x v="0"/>
    <n v="240"/>
    <x v="39"/>
  </r>
  <r>
    <x v="40"/>
    <s v="Parth"/>
    <x v="1"/>
    <n v="330"/>
    <x v="40"/>
  </r>
  <r>
    <x v="41"/>
    <s v="Rachna"/>
    <x v="2"/>
    <n v="470"/>
    <x v="41"/>
  </r>
  <r>
    <x v="42"/>
    <s v="Ishaan"/>
    <x v="0"/>
    <n v="210"/>
    <x v="42"/>
  </r>
  <r>
    <x v="43"/>
    <s v="Gauri"/>
    <x v="1"/>
    <n v="300"/>
    <x v="43"/>
  </r>
  <r>
    <x v="44"/>
    <s v="Kunal"/>
    <x v="2"/>
    <n v="490"/>
    <x v="44"/>
  </r>
  <r>
    <x v="45"/>
    <s v="Shreya"/>
    <x v="0"/>
    <n v="260"/>
    <x v="45"/>
  </r>
  <r>
    <x v="46"/>
    <s v="Tarun"/>
    <x v="1"/>
    <n v="280"/>
    <x v="46"/>
  </r>
  <r>
    <x v="47"/>
    <s v="Lavanya"/>
    <x v="2"/>
    <n v="450"/>
    <x v="47"/>
  </r>
  <r>
    <x v="48"/>
    <s v="Omkar"/>
    <x v="0"/>
    <n v="230"/>
    <x v="48"/>
  </r>
  <r>
    <x v="49"/>
    <s v="Payal"/>
    <x v="1"/>
    <n v="310"/>
    <x v="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BAFF93-1B88-4FDD-841C-CB26BE13FE8A}"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4" firstHeaderRow="1" firstDataRow="1" firstDataCol="1"/>
  <pivotFields count="7">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4">
        <item x="1"/>
        <item x="0"/>
        <item x="2"/>
        <item t="default"/>
      </items>
    </pivotField>
    <pivotField dataField="1" numFmtId="169" showAll="0"/>
    <pivotField numFmtId="15" showAll="0">
      <items count="51">
        <item x="0"/>
        <item x="1"/>
        <item x="2"/>
        <item x="3"/>
        <item x="4"/>
        <item x="5"/>
        <item x="6"/>
        <item x="8"/>
        <item x="9"/>
        <item x="10"/>
        <item x="11"/>
        <item x="13"/>
        <item x="14"/>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7"/>
        <item x="12"/>
        <item x="15"/>
        <item x="2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OrderAmount" fld="3"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CF1F7F-C45D-4363-A1AA-AC949A19168B}"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6" firstHeaderRow="1" firstDataRow="1" firstDataCol="1"/>
  <pivotFields count="7">
    <pivotField dataField="1" showAll="0"/>
    <pivotField showAll="0"/>
    <pivotField axis="axisRow" showAll="0">
      <items count="4">
        <item x="1"/>
        <item x="0"/>
        <item x="2"/>
        <item t="default"/>
      </items>
    </pivotField>
    <pivotField numFmtId="169" showAll="0"/>
    <pivotField numFmtId="15" showAll="0">
      <items count="51">
        <item x="0"/>
        <item x="1"/>
        <item x="2"/>
        <item x="3"/>
        <item x="4"/>
        <item x="5"/>
        <item x="6"/>
        <item x="8"/>
        <item x="9"/>
        <item x="10"/>
        <item x="11"/>
        <item x="13"/>
        <item x="14"/>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7"/>
        <item x="12"/>
        <item x="15"/>
        <item x="2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Count of OrderID" fld="0" subtotal="count"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A15199-F21A-438B-9CF1-A7C59E47C286}"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15" firstHeaderRow="1" firstDataRow="1" firstDataCol="1"/>
  <pivotFields count="7">
    <pivotField dataField="1" showAll="0"/>
    <pivotField showAll="0"/>
    <pivotField showAll="0">
      <items count="4">
        <item x="1"/>
        <item x="0"/>
        <item x="2"/>
        <item t="default"/>
      </items>
    </pivotField>
    <pivotField numFmtId="169" showAll="0"/>
    <pivotField numFmtId="15" showAll="0">
      <items count="51">
        <item x="0"/>
        <item x="1"/>
        <item x="2"/>
        <item x="3"/>
        <item x="4"/>
        <item x="5"/>
        <item x="6"/>
        <item x="8"/>
        <item x="9"/>
        <item x="10"/>
        <item x="11"/>
        <item x="13"/>
        <item x="14"/>
        <item x="16"/>
        <item x="17"/>
        <item x="18"/>
        <item x="19"/>
        <item x="20"/>
        <item x="21"/>
        <item x="22"/>
        <item x="23"/>
        <item x="24"/>
        <item x="25"/>
        <item x="26"/>
        <item x="27"/>
        <item x="28"/>
        <item x="30"/>
        <item x="31"/>
        <item x="32"/>
        <item x="33"/>
        <item x="34"/>
        <item x="35"/>
        <item x="36"/>
        <item x="37"/>
        <item x="38"/>
        <item x="39"/>
        <item x="40"/>
        <item x="41"/>
        <item x="42"/>
        <item x="43"/>
        <item x="44"/>
        <item x="45"/>
        <item x="46"/>
        <item x="47"/>
        <item x="48"/>
        <item x="49"/>
        <item x="7"/>
        <item x="12"/>
        <item x="15"/>
        <item x="29"/>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BB4E56A1-F916-46BA-A97F-69BCADF7E2B3}" sourceName="Cuisine">
  <pivotTables>
    <pivotTable tabId="4" name="PivotTable2"/>
    <pivotTable tabId="3" name="PivotTable1"/>
    <pivotTable tabId="5" name="PivotTable3"/>
  </pivotTables>
  <data>
    <tabular pivotCacheId="2020498505">
      <items count="3">
        <i x="1" s="1"/>
        <i x="0"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28C67238-9138-437F-AAB9-6E53EDF1E65D}" sourceName="Months (OrderDate)">
  <pivotTables>
    <pivotTable tabId="4" name="PivotTable2"/>
    <pivotTable tabId="3" name="PivotTable1"/>
    <pivotTable tabId="5" name="PivotTable3"/>
  </pivotTables>
  <data>
    <tabular pivotCacheId="2020498505">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isine" xr10:uid="{D005F97B-37A6-4551-A2A8-88495870A7B3}" cache="Slicer_Cuisine" caption="Cuisine" rowHeight="241300"/>
  <slicer name="Months (OrderDate)" xr10:uid="{40E477AC-0422-49EB-990F-85286793D145}" cache="Slicer_Months__OrderDate" caption="Months (Order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isine 1" xr10:uid="{A7E85246-5517-423D-A5AD-1D6E772683B4}" cache="Slicer_Cuisine" caption="Cuisine" style="Slicer Style 1" rowHeight="241300"/>
  <slicer name="Months (OrderDate) 1" xr10:uid="{9E1BA6DB-46F1-4B10-97A6-15DBC454D10A}" cache="Slicer_Months__OrderDate" caption="Months (OrderDate)" columnCount="3"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61634-34E1-4EEA-A323-4CA3BA994A7E}">
  <dimension ref="A3:F54"/>
  <sheetViews>
    <sheetView topLeftCell="A34" workbookViewId="0">
      <selection activeCell="A3" sqref="A3:B54"/>
    </sheetView>
  </sheetViews>
  <sheetFormatPr defaultRowHeight="15" x14ac:dyDescent="0.25"/>
  <cols>
    <col min="1" max="1" width="13.140625" bestFit="1" customWidth="1"/>
    <col min="2" max="2" width="20.140625" bestFit="1" customWidth="1"/>
    <col min="5" max="5" width="18" bestFit="1" customWidth="1"/>
  </cols>
  <sheetData>
    <row r="3" spans="1:6" x14ac:dyDescent="0.25">
      <c r="A3" s="11" t="s">
        <v>59</v>
      </c>
      <c r="B3" t="s">
        <v>58</v>
      </c>
      <c r="E3" s="13" t="s">
        <v>61</v>
      </c>
      <c r="F3" s="14">
        <f>MIN(B4:B53)</f>
        <v>180</v>
      </c>
    </row>
    <row r="4" spans="1:6" x14ac:dyDescent="0.25">
      <c r="A4" s="12">
        <v>1001</v>
      </c>
      <c r="B4" s="9">
        <v>250</v>
      </c>
      <c r="E4" s="13" t="s">
        <v>62</v>
      </c>
      <c r="F4" s="14">
        <f>MAX(B4:B53)</f>
        <v>500</v>
      </c>
    </row>
    <row r="5" spans="1:6" x14ac:dyDescent="0.25">
      <c r="A5" s="12">
        <v>1002</v>
      </c>
      <c r="B5" s="9">
        <v>320</v>
      </c>
      <c r="E5" s="13" t="s">
        <v>63</v>
      </c>
      <c r="F5" s="14">
        <f>AVERAGE(B4:B53)</f>
        <v>334</v>
      </c>
    </row>
    <row r="6" spans="1:6" x14ac:dyDescent="0.25">
      <c r="A6" s="12">
        <v>1003</v>
      </c>
      <c r="B6" s="9">
        <v>450</v>
      </c>
    </row>
    <row r="7" spans="1:6" x14ac:dyDescent="0.25">
      <c r="A7" s="12">
        <v>1004</v>
      </c>
      <c r="B7" s="9">
        <v>290</v>
      </c>
    </row>
    <row r="8" spans="1:6" x14ac:dyDescent="0.25">
      <c r="A8" s="12">
        <v>1005</v>
      </c>
      <c r="B8" s="9">
        <v>500</v>
      </c>
    </row>
    <row r="9" spans="1:6" x14ac:dyDescent="0.25">
      <c r="A9" s="12">
        <v>1006</v>
      </c>
      <c r="B9" s="9">
        <v>220</v>
      </c>
    </row>
    <row r="10" spans="1:6" x14ac:dyDescent="0.25">
      <c r="A10" s="12">
        <v>1007</v>
      </c>
      <c r="B10" s="9">
        <v>310</v>
      </c>
    </row>
    <row r="11" spans="1:6" x14ac:dyDescent="0.25">
      <c r="A11" s="12">
        <v>1008</v>
      </c>
      <c r="B11" s="9">
        <v>180</v>
      </c>
    </row>
    <row r="12" spans="1:6" x14ac:dyDescent="0.25">
      <c r="A12" s="12">
        <v>1009</v>
      </c>
      <c r="B12" s="9">
        <v>410</v>
      </c>
    </row>
    <row r="13" spans="1:6" x14ac:dyDescent="0.25">
      <c r="A13" s="12">
        <v>1010</v>
      </c>
      <c r="B13" s="9">
        <v>270</v>
      </c>
    </row>
    <row r="14" spans="1:6" x14ac:dyDescent="0.25">
      <c r="A14" s="12">
        <v>1011</v>
      </c>
      <c r="B14" s="9">
        <v>330</v>
      </c>
    </row>
    <row r="15" spans="1:6" x14ac:dyDescent="0.25">
      <c r="A15" s="12">
        <v>1012</v>
      </c>
      <c r="B15" s="9">
        <v>240</v>
      </c>
    </row>
    <row r="16" spans="1:6" x14ac:dyDescent="0.25">
      <c r="A16" s="12">
        <v>1013</v>
      </c>
      <c r="B16" s="9">
        <v>350</v>
      </c>
    </row>
    <row r="17" spans="1:2" x14ac:dyDescent="0.25">
      <c r="A17" s="12">
        <v>1014</v>
      </c>
      <c r="B17" s="9">
        <v>300</v>
      </c>
    </row>
    <row r="18" spans="1:2" x14ac:dyDescent="0.25">
      <c r="A18" s="12">
        <v>1015</v>
      </c>
      <c r="B18" s="9">
        <v>480</v>
      </c>
    </row>
    <row r="19" spans="1:2" x14ac:dyDescent="0.25">
      <c r="A19" s="12">
        <v>1016</v>
      </c>
      <c r="B19" s="9">
        <v>460</v>
      </c>
    </row>
    <row r="20" spans="1:2" x14ac:dyDescent="0.25">
      <c r="A20" s="12">
        <v>1017</v>
      </c>
      <c r="B20" s="9">
        <v>260</v>
      </c>
    </row>
    <row r="21" spans="1:2" x14ac:dyDescent="0.25">
      <c r="A21" s="12">
        <v>1018</v>
      </c>
      <c r="B21" s="9">
        <v>420</v>
      </c>
    </row>
    <row r="22" spans="1:2" x14ac:dyDescent="0.25">
      <c r="A22" s="12">
        <v>1019</v>
      </c>
      <c r="B22" s="9">
        <v>210</v>
      </c>
    </row>
    <row r="23" spans="1:2" x14ac:dyDescent="0.25">
      <c r="A23" s="12">
        <v>1020</v>
      </c>
      <c r="B23" s="9">
        <v>280</v>
      </c>
    </row>
    <row r="24" spans="1:2" x14ac:dyDescent="0.25">
      <c r="A24" s="12">
        <v>1021</v>
      </c>
      <c r="B24" s="9">
        <v>470</v>
      </c>
    </row>
    <row r="25" spans="1:2" x14ac:dyDescent="0.25">
      <c r="A25" s="12">
        <v>1022</v>
      </c>
      <c r="B25" s="9">
        <v>230</v>
      </c>
    </row>
    <row r="26" spans="1:2" x14ac:dyDescent="0.25">
      <c r="A26" s="12">
        <v>1023</v>
      </c>
      <c r="B26" s="9">
        <v>310</v>
      </c>
    </row>
    <row r="27" spans="1:2" x14ac:dyDescent="0.25">
      <c r="A27" s="12">
        <v>1024</v>
      </c>
      <c r="B27" s="9">
        <v>440</v>
      </c>
    </row>
    <row r="28" spans="1:2" x14ac:dyDescent="0.25">
      <c r="A28" s="12">
        <v>1025</v>
      </c>
      <c r="B28" s="9">
        <v>260</v>
      </c>
    </row>
    <row r="29" spans="1:2" x14ac:dyDescent="0.25">
      <c r="A29" s="12">
        <v>1026</v>
      </c>
      <c r="B29" s="9">
        <v>340</v>
      </c>
    </row>
    <row r="30" spans="1:2" x14ac:dyDescent="0.25">
      <c r="A30" s="12">
        <v>1027</v>
      </c>
      <c r="B30" s="9">
        <v>220</v>
      </c>
    </row>
    <row r="31" spans="1:2" x14ac:dyDescent="0.25">
      <c r="A31" s="12">
        <v>1028</v>
      </c>
      <c r="B31" s="9">
        <v>300</v>
      </c>
    </row>
    <row r="32" spans="1:2" x14ac:dyDescent="0.25">
      <c r="A32" s="12">
        <v>1029</v>
      </c>
      <c r="B32" s="9">
        <v>450</v>
      </c>
    </row>
    <row r="33" spans="1:2" x14ac:dyDescent="0.25">
      <c r="A33" s="12">
        <v>1030</v>
      </c>
      <c r="B33" s="9">
        <v>490</v>
      </c>
    </row>
    <row r="34" spans="1:2" x14ac:dyDescent="0.25">
      <c r="A34" s="12">
        <v>1031</v>
      </c>
      <c r="B34" s="9">
        <v>280</v>
      </c>
    </row>
    <row r="35" spans="1:2" x14ac:dyDescent="0.25">
      <c r="A35" s="12">
        <v>1032</v>
      </c>
      <c r="B35" s="9">
        <v>320</v>
      </c>
    </row>
    <row r="36" spans="1:2" x14ac:dyDescent="0.25">
      <c r="A36" s="12">
        <v>1033</v>
      </c>
      <c r="B36" s="9">
        <v>460</v>
      </c>
    </row>
    <row r="37" spans="1:2" x14ac:dyDescent="0.25">
      <c r="A37" s="12">
        <v>1034</v>
      </c>
      <c r="B37" s="9">
        <v>250</v>
      </c>
    </row>
    <row r="38" spans="1:2" x14ac:dyDescent="0.25">
      <c r="A38" s="12">
        <v>1035</v>
      </c>
      <c r="B38" s="9">
        <v>310</v>
      </c>
    </row>
    <row r="39" spans="1:2" x14ac:dyDescent="0.25">
      <c r="A39" s="12">
        <v>1036</v>
      </c>
      <c r="B39" s="9">
        <v>430</v>
      </c>
    </row>
    <row r="40" spans="1:2" x14ac:dyDescent="0.25">
      <c r="A40" s="12">
        <v>1037</v>
      </c>
      <c r="B40" s="9">
        <v>270</v>
      </c>
    </row>
    <row r="41" spans="1:2" x14ac:dyDescent="0.25">
      <c r="A41" s="12">
        <v>1038</v>
      </c>
      <c r="B41" s="9">
        <v>290</v>
      </c>
    </row>
    <row r="42" spans="1:2" x14ac:dyDescent="0.25">
      <c r="A42" s="12">
        <v>1039</v>
      </c>
      <c r="B42" s="9">
        <v>480</v>
      </c>
    </row>
    <row r="43" spans="1:2" x14ac:dyDescent="0.25">
      <c r="A43" s="12">
        <v>1040</v>
      </c>
      <c r="B43" s="9">
        <v>240</v>
      </c>
    </row>
    <row r="44" spans="1:2" x14ac:dyDescent="0.25">
      <c r="A44" s="12">
        <v>1041</v>
      </c>
      <c r="B44" s="9">
        <v>330</v>
      </c>
    </row>
    <row r="45" spans="1:2" x14ac:dyDescent="0.25">
      <c r="A45" s="12">
        <v>1042</v>
      </c>
      <c r="B45" s="9">
        <v>470</v>
      </c>
    </row>
    <row r="46" spans="1:2" x14ac:dyDescent="0.25">
      <c r="A46" s="12">
        <v>1043</v>
      </c>
      <c r="B46" s="9">
        <v>210</v>
      </c>
    </row>
    <row r="47" spans="1:2" x14ac:dyDescent="0.25">
      <c r="A47" s="12">
        <v>1044</v>
      </c>
      <c r="B47" s="9">
        <v>300</v>
      </c>
    </row>
    <row r="48" spans="1:2" x14ac:dyDescent="0.25">
      <c r="A48" s="12">
        <v>1045</v>
      </c>
      <c r="B48" s="9">
        <v>490</v>
      </c>
    </row>
    <row r="49" spans="1:2" x14ac:dyDescent="0.25">
      <c r="A49" s="12">
        <v>1046</v>
      </c>
      <c r="B49" s="9">
        <v>260</v>
      </c>
    </row>
    <row r="50" spans="1:2" x14ac:dyDescent="0.25">
      <c r="A50" s="12">
        <v>1047</v>
      </c>
      <c r="B50" s="9">
        <v>280</v>
      </c>
    </row>
    <row r="51" spans="1:2" x14ac:dyDescent="0.25">
      <c r="A51" s="12">
        <v>1048</v>
      </c>
      <c r="B51" s="9">
        <v>450</v>
      </c>
    </row>
    <row r="52" spans="1:2" x14ac:dyDescent="0.25">
      <c r="A52" s="12">
        <v>1049</v>
      </c>
      <c r="B52" s="9">
        <v>230</v>
      </c>
    </row>
    <row r="53" spans="1:2" x14ac:dyDescent="0.25">
      <c r="A53" s="12">
        <v>1050</v>
      </c>
      <c r="B53" s="9">
        <v>310</v>
      </c>
    </row>
    <row r="54" spans="1:2" x14ac:dyDescent="0.25">
      <c r="A54" s="12" t="s">
        <v>60</v>
      </c>
      <c r="B54" s="9">
        <v>16700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D80FF-B8DD-41A8-B3D5-B34342AFBF12}">
  <dimension ref="A2:B6"/>
  <sheetViews>
    <sheetView workbookViewId="0">
      <selection activeCell="B3" sqref="B3"/>
    </sheetView>
  </sheetViews>
  <sheetFormatPr defaultRowHeight="15" x14ac:dyDescent="0.25"/>
  <cols>
    <col min="1" max="1" width="13.140625" bestFit="1" customWidth="1"/>
    <col min="2" max="2" width="16.140625" bestFit="1" customWidth="1"/>
  </cols>
  <sheetData>
    <row r="2" spans="1:2" x14ac:dyDescent="0.25">
      <c r="A2" s="11" t="s">
        <v>59</v>
      </c>
      <c r="B2" t="s">
        <v>64</v>
      </c>
    </row>
    <row r="3" spans="1:2" x14ac:dyDescent="0.25">
      <c r="A3" s="12" t="s">
        <v>8</v>
      </c>
      <c r="B3" s="10">
        <v>17</v>
      </c>
    </row>
    <row r="4" spans="1:2" x14ac:dyDescent="0.25">
      <c r="A4" s="12" t="s">
        <v>6</v>
      </c>
      <c r="B4" s="10">
        <v>23</v>
      </c>
    </row>
    <row r="5" spans="1:2" x14ac:dyDescent="0.25">
      <c r="A5" s="12" t="s">
        <v>10</v>
      </c>
      <c r="B5" s="10">
        <v>10</v>
      </c>
    </row>
    <row r="6" spans="1:2" x14ac:dyDescent="0.25">
      <c r="A6" s="12" t="s">
        <v>60</v>
      </c>
      <c r="B6" s="10">
        <v>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450C0-FFE1-4ECA-AD8D-6B1482F13821}">
  <dimension ref="A2:E22"/>
  <sheetViews>
    <sheetView workbookViewId="0">
      <selection activeCell="B5" sqref="B5"/>
    </sheetView>
  </sheetViews>
  <sheetFormatPr defaultRowHeight="15" x14ac:dyDescent="0.25"/>
  <cols>
    <col min="1" max="1" width="13.140625" bestFit="1" customWidth="1"/>
    <col min="2" max="2" width="16.140625" bestFit="1" customWidth="1"/>
    <col min="4" max="4" width="11.140625" bestFit="1" customWidth="1"/>
    <col min="5" max="5" width="16.140625" bestFit="1" customWidth="1"/>
  </cols>
  <sheetData>
    <row r="2" spans="1:5" x14ac:dyDescent="0.25">
      <c r="A2" s="11" t="s">
        <v>59</v>
      </c>
      <c r="B2" t="s">
        <v>64</v>
      </c>
      <c r="D2" t="s">
        <v>59</v>
      </c>
      <c r="E2" t="s">
        <v>64</v>
      </c>
    </row>
    <row r="3" spans="1:5" x14ac:dyDescent="0.25">
      <c r="A3" s="12" t="s">
        <v>65</v>
      </c>
      <c r="B3" s="10">
        <v>3</v>
      </c>
      <c r="D3" t="str">
        <f>IF(ISBLANK(A3),"",A3)</f>
        <v>Jan</v>
      </c>
      <c r="E3">
        <f>IF(ISBLANK(B3),"",B3)</f>
        <v>3</v>
      </c>
    </row>
    <row r="4" spans="1:5" x14ac:dyDescent="0.25">
      <c r="A4" s="12" t="s">
        <v>66</v>
      </c>
      <c r="B4" s="10">
        <v>5</v>
      </c>
      <c r="D4" t="str">
        <f t="shared" ref="D4:D15" si="0">IF(ISBLANK(A4),"",A4)</f>
        <v>Feb</v>
      </c>
      <c r="E4">
        <f t="shared" ref="E4:E15" si="1">IF(ISBLANK(B4),"",B4)</f>
        <v>5</v>
      </c>
    </row>
    <row r="5" spans="1:5" x14ac:dyDescent="0.25">
      <c r="A5" s="12" t="s">
        <v>67</v>
      </c>
      <c r="B5" s="10">
        <v>3</v>
      </c>
      <c r="D5" t="str">
        <f t="shared" si="0"/>
        <v>Mar</v>
      </c>
      <c r="E5">
        <f t="shared" si="1"/>
        <v>3</v>
      </c>
    </row>
    <row r="6" spans="1:5" x14ac:dyDescent="0.25">
      <c r="A6" s="12" t="s">
        <v>68</v>
      </c>
      <c r="B6" s="10">
        <v>6</v>
      </c>
      <c r="D6" t="str">
        <f t="shared" si="0"/>
        <v>Apr</v>
      </c>
      <c r="E6">
        <f t="shared" si="1"/>
        <v>6</v>
      </c>
    </row>
    <row r="7" spans="1:5" x14ac:dyDescent="0.25">
      <c r="A7" s="12" t="s">
        <v>69</v>
      </c>
      <c r="B7" s="10">
        <v>3</v>
      </c>
      <c r="D7" t="str">
        <f t="shared" si="0"/>
        <v>May</v>
      </c>
      <c r="E7">
        <f t="shared" si="1"/>
        <v>3</v>
      </c>
    </row>
    <row r="8" spans="1:5" x14ac:dyDescent="0.25">
      <c r="A8" s="12" t="s">
        <v>70</v>
      </c>
      <c r="B8" s="10">
        <v>3</v>
      </c>
      <c r="D8" t="str">
        <f t="shared" si="0"/>
        <v>Jun</v>
      </c>
      <c r="E8">
        <f t="shared" si="1"/>
        <v>3</v>
      </c>
    </row>
    <row r="9" spans="1:5" x14ac:dyDescent="0.25">
      <c r="A9" s="12" t="s">
        <v>71</v>
      </c>
      <c r="B9" s="10">
        <v>3</v>
      </c>
      <c r="D9" t="str">
        <f t="shared" si="0"/>
        <v>Jul</v>
      </c>
      <c r="E9">
        <f t="shared" si="1"/>
        <v>3</v>
      </c>
    </row>
    <row r="10" spans="1:5" x14ac:dyDescent="0.25">
      <c r="A10" s="12" t="s">
        <v>72</v>
      </c>
      <c r="B10" s="10">
        <v>5</v>
      </c>
      <c r="D10" t="str">
        <f t="shared" si="0"/>
        <v>Aug</v>
      </c>
      <c r="E10">
        <f t="shared" si="1"/>
        <v>5</v>
      </c>
    </row>
    <row r="11" spans="1:5" x14ac:dyDescent="0.25">
      <c r="A11" s="12" t="s">
        <v>73</v>
      </c>
      <c r="B11" s="10">
        <v>4</v>
      </c>
      <c r="D11" t="str">
        <f t="shared" si="0"/>
        <v>Sep</v>
      </c>
      <c r="E11">
        <f t="shared" si="1"/>
        <v>4</v>
      </c>
    </row>
    <row r="12" spans="1:5" x14ac:dyDescent="0.25">
      <c r="A12" s="12" t="s">
        <v>74</v>
      </c>
      <c r="B12" s="10">
        <v>4</v>
      </c>
      <c r="D12" t="str">
        <f t="shared" si="0"/>
        <v>Oct</v>
      </c>
      <c r="E12">
        <f t="shared" si="1"/>
        <v>4</v>
      </c>
    </row>
    <row r="13" spans="1:5" x14ac:dyDescent="0.25">
      <c r="A13" s="12" t="s">
        <v>75</v>
      </c>
      <c r="B13" s="10">
        <v>4</v>
      </c>
      <c r="D13" t="str">
        <f t="shared" si="0"/>
        <v>Nov</v>
      </c>
      <c r="E13">
        <f t="shared" si="1"/>
        <v>4</v>
      </c>
    </row>
    <row r="14" spans="1:5" x14ac:dyDescent="0.25">
      <c r="A14" s="12" t="s">
        <v>76</v>
      </c>
      <c r="B14" s="10">
        <v>7</v>
      </c>
      <c r="D14" t="str">
        <f t="shared" si="0"/>
        <v>Dec</v>
      </c>
      <c r="E14">
        <f t="shared" si="1"/>
        <v>7</v>
      </c>
    </row>
    <row r="15" spans="1:5" x14ac:dyDescent="0.25">
      <c r="A15" s="12" t="s">
        <v>60</v>
      </c>
      <c r="B15" s="10">
        <v>50</v>
      </c>
    </row>
    <row r="18" spans="1:2" x14ac:dyDescent="0.25">
      <c r="A18" s="1"/>
      <c r="B18" s="1"/>
    </row>
    <row r="19" spans="1:2" x14ac:dyDescent="0.25">
      <c r="A19" s="1"/>
      <c r="B19" s="2"/>
    </row>
    <row r="20" spans="1:2" x14ac:dyDescent="0.25">
      <c r="A20" s="1"/>
      <c r="B20" s="2"/>
    </row>
    <row r="21" spans="1:2" x14ac:dyDescent="0.25">
      <c r="A21" s="1"/>
      <c r="B21" s="2"/>
    </row>
    <row r="22" spans="1:2" x14ac:dyDescent="0.25">
      <c r="A22" s="1"/>
      <c r="B22" s="2"/>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opLeftCell="A31" workbookViewId="0">
      <selection activeCell="H37" sqref="H37"/>
    </sheetView>
  </sheetViews>
  <sheetFormatPr defaultRowHeight="15" x14ac:dyDescent="0.25"/>
  <cols>
    <col min="1" max="1" width="8" bestFit="1" customWidth="1"/>
    <col min="2" max="2" width="9.5703125" bestFit="1" customWidth="1"/>
    <col min="3" max="3" width="8.140625" bestFit="1" customWidth="1"/>
    <col min="4" max="4" width="13.42578125" bestFit="1" customWidth="1"/>
    <col min="5" max="5" width="10.28515625" bestFit="1" customWidth="1"/>
  </cols>
  <sheetData>
    <row r="1" spans="1:5" x14ac:dyDescent="0.25">
      <c r="A1" s="3" t="s">
        <v>0</v>
      </c>
      <c r="B1" s="3" t="s">
        <v>1</v>
      </c>
      <c r="C1" s="3" t="s">
        <v>2</v>
      </c>
      <c r="D1" s="3" t="s">
        <v>3</v>
      </c>
      <c r="E1" s="3" t="s">
        <v>4</v>
      </c>
    </row>
    <row r="2" spans="1:5" x14ac:dyDescent="0.25">
      <c r="A2" s="4">
        <v>1001</v>
      </c>
      <c r="B2" s="5" t="s">
        <v>5</v>
      </c>
      <c r="C2" s="5" t="s">
        <v>6</v>
      </c>
      <c r="D2" s="7">
        <v>250</v>
      </c>
      <c r="E2" s="6">
        <v>46027</v>
      </c>
    </row>
    <row r="3" spans="1:5" x14ac:dyDescent="0.25">
      <c r="A3" s="4">
        <v>1002</v>
      </c>
      <c r="B3" s="5" t="s">
        <v>7</v>
      </c>
      <c r="C3" s="5" t="s">
        <v>6</v>
      </c>
      <c r="D3" s="7">
        <v>320</v>
      </c>
      <c r="E3" s="6">
        <v>46034</v>
      </c>
    </row>
    <row r="4" spans="1:5" x14ac:dyDescent="0.25">
      <c r="A4" s="4">
        <v>1003</v>
      </c>
      <c r="B4" s="5" t="s">
        <v>9</v>
      </c>
      <c r="C4" s="5" t="s">
        <v>6</v>
      </c>
      <c r="D4" s="7">
        <v>450</v>
      </c>
      <c r="E4" s="6">
        <v>46042</v>
      </c>
    </row>
    <row r="5" spans="1:5" x14ac:dyDescent="0.25">
      <c r="A5" s="4">
        <v>1004</v>
      </c>
      <c r="B5" s="5" t="s">
        <v>12</v>
      </c>
      <c r="C5" s="5" t="s">
        <v>6</v>
      </c>
      <c r="D5" s="7">
        <v>290</v>
      </c>
      <c r="E5" s="6">
        <v>46055</v>
      </c>
    </row>
    <row r="6" spans="1:5" x14ac:dyDescent="0.25">
      <c r="A6" s="4">
        <v>1005</v>
      </c>
      <c r="B6" s="5" t="s">
        <v>13</v>
      </c>
      <c r="C6" s="5" t="s">
        <v>8</v>
      </c>
      <c r="D6" s="7">
        <v>500</v>
      </c>
      <c r="E6" s="6">
        <v>46063</v>
      </c>
    </row>
    <row r="7" spans="1:5" x14ac:dyDescent="0.25">
      <c r="A7" s="4">
        <v>1006</v>
      </c>
      <c r="B7" s="5" t="s">
        <v>14</v>
      </c>
      <c r="C7" s="5" t="s">
        <v>6</v>
      </c>
      <c r="D7" s="7">
        <v>220</v>
      </c>
      <c r="E7" s="6">
        <v>46071</v>
      </c>
    </row>
    <row r="8" spans="1:5" x14ac:dyDescent="0.25">
      <c r="A8" s="4">
        <v>1007</v>
      </c>
      <c r="B8" s="5" t="s">
        <v>15</v>
      </c>
      <c r="C8" s="5" t="s">
        <v>8</v>
      </c>
      <c r="D8" s="7">
        <v>310</v>
      </c>
      <c r="E8" s="6">
        <v>46078</v>
      </c>
    </row>
    <row r="9" spans="1:5" x14ac:dyDescent="0.25">
      <c r="A9" s="4">
        <v>1008</v>
      </c>
      <c r="B9" s="5" t="s">
        <v>11</v>
      </c>
      <c r="C9" s="5" t="s">
        <v>6</v>
      </c>
      <c r="D9" s="7">
        <v>180</v>
      </c>
      <c r="E9" s="6">
        <v>46081</v>
      </c>
    </row>
    <row r="10" spans="1:5" x14ac:dyDescent="0.25">
      <c r="A10" s="4">
        <v>1009</v>
      </c>
      <c r="B10" s="5" t="s">
        <v>16</v>
      </c>
      <c r="C10" s="5" t="s">
        <v>8</v>
      </c>
      <c r="D10" s="7">
        <v>410</v>
      </c>
      <c r="E10" s="6">
        <v>46084</v>
      </c>
    </row>
    <row r="11" spans="1:5" x14ac:dyDescent="0.25">
      <c r="A11" s="4">
        <v>1010</v>
      </c>
      <c r="B11" s="5" t="s">
        <v>17</v>
      </c>
      <c r="C11" s="5" t="s">
        <v>6</v>
      </c>
      <c r="D11" s="7">
        <v>270</v>
      </c>
      <c r="E11" s="6">
        <v>46092</v>
      </c>
    </row>
    <row r="12" spans="1:5" x14ac:dyDescent="0.25">
      <c r="A12" s="4">
        <v>1011</v>
      </c>
      <c r="B12" s="5" t="s">
        <v>18</v>
      </c>
      <c r="C12" s="5" t="s">
        <v>8</v>
      </c>
      <c r="D12" s="7">
        <v>330</v>
      </c>
      <c r="E12" s="6">
        <v>46100</v>
      </c>
    </row>
    <row r="13" spans="1:5" x14ac:dyDescent="0.25">
      <c r="A13" s="4">
        <v>1012</v>
      </c>
      <c r="B13" s="5" t="s">
        <v>20</v>
      </c>
      <c r="C13" s="5" t="s">
        <v>6</v>
      </c>
      <c r="D13" s="7">
        <v>240</v>
      </c>
      <c r="E13" s="6">
        <v>46116</v>
      </c>
    </row>
    <row r="14" spans="1:5" x14ac:dyDescent="0.25">
      <c r="A14" s="4">
        <v>1013</v>
      </c>
      <c r="B14" s="5" t="s">
        <v>24</v>
      </c>
      <c r="C14" s="5" t="s">
        <v>8</v>
      </c>
      <c r="D14" s="7">
        <v>350</v>
      </c>
      <c r="E14" s="6">
        <v>46118</v>
      </c>
    </row>
    <row r="15" spans="1:5" x14ac:dyDescent="0.25">
      <c r="A15" s="4">
        <v>1014</v>
      </c>
      <c r="B15" s="5" t="s">
        <v>21</v>
      </c>
      <c r="C15" s="5" t="s">
        <v>8</v>
      </c>
      <c r="D15" s="7">
        <v>300</v>
      </c>
      <c r="E15" s="6">
        <v>46124</v>
      </c>
    </row>
    <row r="16" spans="1:5" x14ac:dyDescent="0.25">
      <c r="A16" s="4">
        <v>1015</v>
      </c>
      <c r="B16" s="5" t="s">
        <v>22</v>
      </c>
      <c r="C16" s="5" t="s">
        <v>6</v>
      </c>
      <c r="D16" s="7">
        <v>480</v>
      </c>
      <c r="E16" s="6">
        <v>46132</v>
      </c>
    </row>
    <row r="17" spans="1:5" x14ac:dyDescent="0.25">
      <c r="A17" s="4">
        <v>1016</v>
      </c>
      <c r="B17" s="5" t="s">
        <v>19</v>
      </c>
      <c r="C17" s="5" t="s">
        <v>6</v>
      </c>
      <c r="D17" s="7">
        <v>460</v>
      </c>
      <c r="E17" s="6">
        <v>46139</v>
      </c>
    </row>
    <row r="18" spans="1:5" x14ac:dyDescent="0.25">
      <c r="A18" s="4">
        <v>1017</v>
      </c>
      <c r="B18" s="5" t="s">
        <v>23</v>
      </c>
      <c r="C18" s="5" t="s">
        <v>6</v>
      </c>
      <c r="D18" s="7">
        <v>260</v>
      </c>
      <c r="E18" s="6">
        <v>46140</v>
      </c>
    </row>
    <row r="19" spans="1:5" x14ac:dyDescent="0.25">
      <c r="A19" s="4">
        <v>1018</v>
      </c>
      <c r="B19" s="5" t="s">
        <v>25</v>
      </c>
      <c r="C19" s="5" t="s">
        <v>6</v>
      </c>
      <c r="D19" s="7">
        <v>420</v>
      </c>
      <c r="E19" s="6">
        <v>46156</v>
      </c>
    </row>
    <row r="20" spans="1:5" x14ac:dyDescent="0.25">
      <c r="A20" s="4">
        <v>1019</v>
      </c>
      <c r="B20" s="5" t="s">
        <v>26</v>
      </c>
      <c r="C20" s="5" t="s">
        <v>6</v>
      </c>
      <c r="D20" s="7">
        <v>210</v>
      </c>
      <c r="E20" s="6">
        <v>46164</v>
      </c>
    </row>
    <row r="21" spans="1:5" x14ac:dyDescent="0.25">
      <c r="A21" s="4">
        <v>1020</v>
      </c>
      <c r="B21" s="5" t="s">
        <v>27</v>
      </c>
      <c r="C21" s="5" t="s">
        <v>8</v>
      </c>
      <c r="D21" s="7">
        <v>280</v>
      </c>
      <c r="E21" s="6">
        <v>46172</v>
      </c>
    </row>
    <row r="22" spans="1:5" x14ac:dyDescent="0.25">
      <c r="A22" s="4">
        <v>1021</v>
      </c>
      <c r="B22" s="5" t="s">
        <v>28</v>
      </c>
      <c r="C22" s="5" t="s">
        <v>10</v>
      </c>
      <c r="D22" s="7">
        <v>470</v>
      </c>
      <c r="E22" s="6">
        <v>46180</v>
      </c>
    </row>
    <row r="23" spans="1:5" x14ac:dyDescent="0.25">
      <c r="A23" s="4">
        <v>1022</v>
      </c>
      <c r="B23" s="5" t="s">
        <v>29</v>
      </c>
      <c r="C23" s="5" t="s">
        <v>6</v>
      </c>
      <c r="D23" s="7">
        <v>230</v>
      </c>
      <c r="E23" s="6">
        <v>46188</v>
      </c>
    </row>
    <row r="24" spans="1:5" x14ac:dyDescent="0.25">
      <c r="A24" s="4">
        <v>1023</v>
      </c>
      <c r="B24" s="5" t="s">
        <v>30</v>
      </c>
      <c r="C24" s="5" t="s">
        <v>8</v>
      </c>
      <c r="D24" s="7">
        <v>310</v>
      </c>
      <c r="E24" s="6">
        <v>46196</v>
      </c>
    </row>
    <row r="25" spans="1:5" x14ac:dyDescent="0.25">
      <c r="A25" s="4">
        <v>1024</v>
      </c>
      <c r="B25" s="5" t="s">
        <v>31</v>
      </c>
      <c r="C25" s="5" t="s">
        <v>10</v>
      </c>
      <c r="D25" s="7">
        <v>440</v>
      </c>
      <c r="E25" s="6">
        <v>46204</v>
      </c>
    </row>
    <row r="26" spans="1:5" x14ac:dyDescent="0.25">
      <c r="A26" s="4">
        <v>1025</v>
      </c>
      <c r="B26" s="5" t="s">
        <v>32</v>
      </c>
      <c r="C26" s="5" t="s">
        <v>6</v>
      </c>
      <c r="D26" s="7">
        <v>260</v>
      </c>
      <c r="E26" s="6">
        <v>46212</v>
      </c>
    </row>
    <row r="27" spans="1:5" x14ac:dyDescent="0.25">
      <c r="A27" s="4">
        <v>1026</v>
      </c>
      <c r="B27" s="5" t="s">
        <v>33</v>
      </c>
      <c r="C27" s="5" t="s">
        <v>8</v>
      </c>
      <c r="D27" s="7">
        <v>340</v>
      </c>
      <c r="E27" s="6">
        <v>46220</v>
      </c>
    </row>
    <row r="28" spans="1:5" x14ac:dyDescent="0.25">
      <c r="A28" s="4">
        <v>1027</v>
      </c>
      <c r="B28" s="5" t="s">
        <v>35</v>
      </c>
      <c r="C28" s="5" t="s">
        <v>6</v>
      </c>
      <c r="D28" s="7">
        <v>220</v>
      </c>
      <c r="E28" s="6">
        <v>46236</v>
      </c>
    </row>
    <row r="29" spans="1:5" x14ac:dyDescent="0.25">
      <c r="A29" s="4">
        <v>1028</v>
      </c>
      <c r="B29" s="5" t="s">
        <v>36</v>
      </c>
      <c r="C29" s="5" t="s">
        <v>8</v>
      </c>
      <c r="D29" s="7">
        <v>300</v>
      </c>
      <c r="E29" s="6">
        <v>46244</v>
      </c>
    </row>
    <row r="30" spans="1:5" x14ac:dyDescent="0.25">
      <c r="A30" s="4">
        <v>1029</v>
      </c>
      <c r="B30" s="5" t="s">
        <v>37</v>
      </c>
      <c r="C30" s="5" t="s">
        <v>10</v>
      </c>
      <c r="D30" s="7">
        <v>450</v>
      </c>
      <c r="E30" s="6">
        <v>46252</v>
      </c>
    </row>
    <row r="31" spans="1:5" x14ac:dyDescent="0.25">
      <c r="A31" s="4">
        <v>1030</v>
      </c>
      <c r="B31" s="5" t="s">
        <v>34</v>
      </c>
      <c r="C31" s="5" t="s">
        <v>10</v>
      </c>
      <c r="D31" s="7">
        <v>490</v>
      </c>
      <c r="E31" s="6">
        <v>46259</v>
      </c>
    </row>
    <row r="32" spans="1:5" x14ac:dyDescent="0.25">
      <c r="A32" s="4">
        <v>1031</v>
      </c>
      <c r="B32" s="5" t="s">
        <v>38</v>
      </c>
      <c r="C32" s="5" t="s">
        <v>6</v>
      </c>
      <c r="D32" s="7">
        <v>280</v>
      </c>
      <c r="E32" s="6">
        <v>46260</v>
      </c>
    </row>
    <row r="33" spans="1:5" x14ac:dyDescent="0.25">
      <c r="A33" s="4">
        <v>1032</v>
      </c>
      <c r="B33" s="5" t="s">
        <v>39</v>
      </c>
      <c r="C33" s="5" t="s">
        <v>8</v>
      </c>
      <c r="D33" s="7">
        <v>320</v>
      </c>
      <c r="E33" s="6">
        <v>46268</v>
      </c>
    </row>
    <row r="34" spans="1:5" x14ac:dyDescent="0.25">
      <c r="A34" s="4">
        <v>1033</v>
      </c>
      <c r="B34" s="5" t="s">
        <v>40</v>
      </c>
      <c r="C34" s="5" t="s">
        <v>10</v>
      </c>
      <c r="D34" s="7">
        <v>460</v>
      </c>
      <c r="E34" s="6">
        <v>46276</v>
      </c>
    </row>
    <row r="35" spans="1:5" x14ac:dyDescent="0.25">
      <c r="A35" s="4">
        <v>1034</v>
      </c>
      <c r="B35" s="5" t="s">
        <v>41</v>
      </c>
      <c r="C35" s="5" t="s">
        <v>6</v>
      </c>
      <c r="D35" s="7">
        <v>250</v>
      </c>
      <c r="E35" s="6">
        <v>46284</v>
      </c>
    </row>
    <row r="36" spans="1:5" x14ac:dyDescent="0.25">
      <c r="A36" s="4">
        <v>1035</v>
      </c>
      <c r="B36" s="5" t="s">
        <v>42</v>
      </c>
      <c r="C36" s="5" t="s">
        <v>8</v>
      </c>
      <c r="D36" s="7">
        <v>310</v>
      </c>
      <c r="E36" s="6">
        <v>46292</v>
      </c>
    </row>
    <row r="37" spans="1:5" x14ac:dyDescent="0.25">
      <c r="A37" s="4">
        <v>1036</v>
      </c>
      <c r="B37" s="5" t="s">
        <v>43</v>
      </c>
      <c r="C37" s="5" t="s">
        <v>10</v>
      </c>
      <c r="D37" s="7">
        <v>430</v>
      </c>
      <c r="E37" s="6">
        <v>46300</v>
      </c>
    </row>
    <row r="38" spans="1:5" x14ac:dyDescent="0.25">
      <c r="A38" s="4">
        <v>1037</v>
      </c>
      <c r="B38" s="5" t="s">
        <v>44</v>
      </c>
      <c r="C38" s="5" t="s">
        <v>6</v>
      </c>
      <c r="D38" s="7">
        <v>270</v>
      </c>
      <c r="E38" s="6">
        <v>46308</v>
      </c>
    </row>
    <row r="39" spans="1:5" x14ac:dyDescent="0.25">
      <c r="A39" s="4">
        <v>1038</v>
      </c>
      <c r="B39" s="5" t="s">
        <v>45</v>
      </c>
      <c r="C39" s="5" t="s">
        <v>8</v>
      </c>
      <c r="D39" s="7">
        <v>290</v>
      </c>
      <c r="E39" s="6">
        <v>46316</v>
      </c>
    </row>
    <row r="40" spans="1:5" x14ac:dyDescent="0.25">
      <c r="A40" s="4">
        <v>1039</v>
      </c>
      <c r="B40" s="5" t="s">
        <v>46</v>
      </c>
      <c r="C40" s="5" t="s">
        <v>10</v>
      </c>
      <c r="D40" s="7">
        <v>480</v>
      </c>
      <c r="E40" s="6">
        <v>46324</v>
      </c>
    </row>
    <row r="41" spans="1:5" x14ac:dyDescent="0.25">
      <c r="A41" s="4">
        <v>1040</v>
      </c>
      <c r="B41" s="5" t="s">
        <v>47</v>
      </c>
      <c r="C41" s="5" t="s">
        <v>6</v>
      </c>
      <c r="D41" s="7">
        <v>240</v>
      </c>
      <c r="E41" s="6">
        <v>46332</v>
      </c>
    </row>
    <row r="42" spans="1:5" x14ac:dyDescent="0.25">
      <c r="A42" s="4">
        <v>1041</v>
      </c>
      <c r="B42" s="5" t="s">
        <v>48</v>
      </c>
      <c r="C42" s="5" t="s">
        <v>8</v>
      </c>
      <c r="D42" s="7">
        <v>330</v>
      </c>
      <c r="E42" s="6">
        <v>46340</v>
      </c>
    </row>
    <row r="43" spans="1:5" x14ac:dyDescent="0.25">
      <c r="A43" s="4">
        <v>1042</v>
      </c>
      <c r="B43" s="5" t="s">
        <v>49</v>
      </c>
      <c r="C43" s="5" t="s">
        <v>10</v>
      </c>
      <c r="D43" s="7">
        <v>470</v>
      </c>
      <c r="E43" s="6">
        <v>46348</v>
      </c>
    </row>
    <row r="44" spans="1:5" x14ac:dyDescent="0.25">
      <c r="A44" s="4">
        <v>1043</v>
      </c>
      <c r="B44" s="5" t="s">
        <v>50</v>
      </c>
      <c r="C44" s="5" t="s">
        <v>6</v>
      </c>
      <c r="D44" s="7">
        <v>210</v>
      </c>
      <c r="E44" s="6">
        <v>46356</v>
      </c>
    </row>
    <row r="45" spans="1:5" x14ac:dyDescent="0.25">
      <c r="A45" s="4">
        <v>1044</v>
      </c>
      <c r="B45" s="5" t="s">
        <v>51</v>
      </c>
      <c r="C45" s="5" t="s">
        <v>8</v>
      </c>
      <c r="D45" s="7">
        <v>300</v>
      </c>
      <c r="E45" s="6">
        <v>46364</v>
      </c>
    </row>
    <row r="46" spans="1:5" x14ac:dyDescent="0.25">
      <c r="A46" s="4">
        <v>1045</v>
      </c>
      <c r="B46" s="5" t="s">
        <v>52</v>
      </c>
      <c r="C46" s="5" t="s">
        <v>10</v>
      </c>
      <c r="D46" s="7">
        <v>490</v>
      </c>
      <c r="E46" s="6">
        <v>46372</v>
      </c>
    </row>
    <row r="47" spans="1:5" x14ac:dyDescent="0.25">
      <c r="A47" s="4">
        <v>1046</v>
      </c>
      <c r="B47" s="5" t="s">
        <v>53</v>
      </c>
      <c r="C47" s="5" t="s">
        <v>6</v>
      </c>
      <c r="D47" s="7">
        <v>260</v>
      </c>
      <c r="E47" s="6">
        <v>46380</v>
      </c>
    </row>
    <row r="48" spans="1:5" x14ac:dyDescent="0.25">
      <c r="A48" s="4">
        <v>1047</v>
      </c>
      <c r="B48" s="5" t="s">
        <v>54</v>
      </c>
      <c r="C48" s="5" t="s">
        <v>8</v>
      </c>
      <c r="D48" s="7">
        <v>280</v>
      </c>
      <c r="E48" s="6">
        <v>46384</v>
      </c>
    </row>
    <row r="49" spans="1:5" x14ac:dyDescent="0.25">
      <c r="A49" s="4">
        <v>1048</v>
      </c>
      <c r="B49" s="5" t="s">
        <v>55</v>
      </c>
      <c r="C49" s="5" t="s">
        <v>10</v>
      </c>
      <c r="D49" s="7">
        <v>450</v>
      </c>
      <c r="E49" s="6">
        <v>46385</v>
      </c>
    </row>
    <row r="50" spans="1:5" x14ac:dyDescent="0.25">
      <c r="A50" s="4">
        <v>1049</v>
      </c>
      <c r="B50" s="5" t="s">
        <v>56</v>
      </c>
      <c r="C50" s="5" t="s">
        <v>6</v>
      </c>
      <c r="D50" s="7">
        <v>230</v>
      </c>
      <c r="E50" s="6">
        <v>46386</v>
      </c>
    </row>
    <row r="51" spans="1:5" x14ac:dyDescent="0.25">
      <c r="A51" s="4">
        <v>1050</v>
      </c>
      <c r="B51" s="5" t="s">
        <v>57</v>
      </c>
      <c r="C51" s="5" t="s">
        <v>8</v>
      </c>
      <c r="D51" s="7">
        <v>310</v>
      </c>
      <c r="E51" s="6">
        <v>46387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E692B-C661-4B3D-8B00-BB33CC8C8B66}">
  <dimension ref="A1:AB3"/>
  <sheetViews>
    <sheetView tabSelected="1" workbookViewId="0">
      <pane ySplit="1" topLeftCell="A2" activePane="bottomLeft" state="frozen"/>
      <selection pane="bottomLeft" activeCell="T4" sqref="T4"/>
    </sheetView>
  </sheetViews>
  <sheetFormatPr defaultRowHeight="15" x14ac:dyDescent="0.25"/>
  <cols>
    <col min="1" max="10" width="9.140625" style="8" customWidth="1"/>
    <col min="11" max="16384" width="9.140625" style="8"/>
  </cols>
  <sheetData>
    <row r="1" spans="1:28" ht="47.25" customHeight="1" x14ac:dyDescent="0.25">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row>
    <row r="2" spans="1:28" x14ac:dyDescent="0.25">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row>
    <row r="3" spans="1:28" x14ac:dyDescent="0.25">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vt:lpstr>
      <vt:lpstr>DONUT CHART</vt:lpstr>
      <vt:lpstr>WATERFALL CHART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2026-07-20T15:17:18Z</dcterms:modified>
</cp:coreProperties>
</file>