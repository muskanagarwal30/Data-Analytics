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931C9427-FE54-4227-AE05-26D88A6EF789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TOP_ARTISTS_" localSheetId="2">'3'!$A$3:$A$7</definedName>
    <definedName name="Rating_" localSheetId="4">OFFSET('5'!$B$4,0,0,COUNTA('5'!$B$3:$B$1048576)-1,1)</definedName>
    <definedName name="Recent_Movies" localSheetId="4">OFFSET('5'!$A$4,0,0,COUNTA('5'!$A$3:$A$1048576)-1,1)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4" i="5"/>
  <c r="B3" i="3"/>
  <c r="C6" i="2"/>
  <c r="C7" i="2"/>
  <c r="C8" i="2"/>
  <c r="C9" i="2"/>
  <c r="C10" i="2"/>
  <c r="C5" i="2"/>
  <c r="C5" i="1"/>
  <c r="C6" i="1"/>
  <c r="C7" i="1"/>
  <c r="C8" i="1"/>
  <c r="C9" i="1"/>
</calcChain>
</file>

<file path=xl/sharedStrings.xml><?xml version="1.0" encoding="utf-8"?>
<sst xmlns="http://schemas.openxmlformats.org/spreadsheetml/2006/main" count="139" uniqueCount="95">
  <si>
    <t>Zomato</t>
  </si>
  <si>
    <t xml:space="preserve">Swiggy </t>
  </si>
  <si>
    <t>Uber Eats</t>
  </si>
  <si>
    <t>Domino’s</t>
  </si>
  <si>
    <t>Foodpanda</t>
  </si>
  <si>
    <t>Food App Name</t>
  </si>
  <si>
    <t>Average Rating</t>
  </si>
  <si>
    <t xml:space="preserve">Rating Percentage </t>
  </si>
  <si>
    <t>Max Rating</t>
  </si>
  <si>
    <t>Mumbai Indians</t>
  </si>
  <si>
    <t>Chennai Super Kings</t>
  </si>
  <si>
    <t>Kolkata Knight Riders</t>
  </si>
  <si>
    <t>Royal Challengers</t>
  </si>
  <si>
    <t>Rajasthan Royals</t>
  </si>
  <si>
    <t>Delhi Capitals</t>
  </si>
  <si>
    <t>Bonus Factor</t>
  </si>
  <si>
    <t>Team</t>
  </si>
  <si>
    <t>Total Wins</t>
  </si>
  <si>
    <t>Results after bonus</t>
  </si>
  <si>
    <t>No. of Artists</t>
  </si>
  <si>
    <t>Top Artists Name</t>
  </si>
  <si>
    <t>Arijit Singh</t>
  </si>
  <si>
    <t>Shreya Ghoshal</t>
  </si>
  <si>
    <t>Kumar Sanu</t>
  </si>
  <si>
    <t>Lata Mangeshkar</t>
  </si>
  <si>
    <t>Neha Kakkar</t>
  </si>
  <si>
    <t>Order ID</t>
  </si>
  <si>
    <t>Product Name</t>
  </si>
  <si>
    <t>Customer Name</t>
  </si>
  <si>
    <t>Payment Mode</t>
  </si>
  <si>
    <t>Delivery Address (Surat)</t>
  </si>
  <si>
    <t>ZMT-2001</t>
  </si>
  <si>
    <t>Paneer Butter Masala</t>
  </si>
  <si>
    <t>Rahul Mehta</t>
  </si>
  <si>
    <t>Building 12, Adajan, Surat</t>
  </si>
  <si>
    <t>ZMT-2002</t>
  </si>
  <si>
    <t>Chicken Biryani</t>
  </si>
  <si>
    <t>Priya Shah</t>
  </si>
  <si>
    <t>Building 45, Vesu, Surat</t>
  </si>
  <si>
    <t>ZMT-2003</t>
  </si>
  <si>
    <t>Veg Pizza</t>
  </si>
  <si>
    <t>Ankit Patel</t>
  </si>
  <si>
    <t>Building 8, Nanpura, Surat</t>
  </si>
  <si>
    <t>ZMT-2004</t>
  </si>
  <si>
    <t>Masala Dosa</t>
  </si>
  <si>
    <t>Sneha Verma</t>
  </si>
  <si>
    <t>Building 21, Katargam, Surat</t>
  </si>
  <si>
    <t>ZMT-2005</t>
  </si>
  <si>
    <t>Cheeseburger</t>
  </si>
  <si>
    <t>Arjun Singh</t>
  </si>
  <si>
    <t>Building 33, Palanpur Jakatnaka, Surat</t>
  </si>
  <si>
    <t>ZMT-2006</t>
  </si>
  <si>
    <t>Pasta Alfredo</t>
  </si>
  <si>
    <t>Neha Joshi</t>
  </si>
  <si>
    <t>Building 17, Rander Road, Surat</t>
  </si>
  <si>
    <t>ZMT-2007</t>
  </si>
  <si>
    <t>Dal Tadka</t>
  </si>
  <si>
    <t>Karan Desai</t>
  </si>
  <si>
    <t>Building 29, Athwa Gate, Surat</t>
  </si>
  <si>
    <t>ZMT-2008</t>
  </si>
  <si>
    <t>Sushi Roll</t>
  </si>
  <si>
    <t>Riya Kapoor</t>
  </si>
  <si>
    <t>Building 56, Piplod, Surat</t>
  </si>
  <si>
    <t>ZMT-2009</t>
  </si>
  <si>
    <t>ZMT-2010</t>
  </si>
  <si>
    <t>ZMT-2011</t>
  </si>
  <si>
    <t>ZMT-2012</t>
  </si>
  <si>
    <t>ZMT-2013</t>
  </si>
  <si>
    <t>ZMT-2014</t>
  </si>
  <si>
    <t>ZMT-2015</t>
  </si>
  <si>
    <t>Ed Sheeran</t>
  </si>
  <si>
    <t>Dua Lipa</t>
  </si>
  <si>
    <t>Billie Eilish</t>
  </si>
  <si>
    <t>Mark Ronson ft. Bruno Mars</t>
  </si>
  <si>
    <t>Adele</t>
  </si>
  <si>
    <t>Justin Bieber</t>
  </si>
  <si>
    <t>UPI</t>
  </si>
  <si>
    <t>Credit Card</t>
  </si>
  <si>
    <t>Net Banking</t>
  </si>
  <si>
    <t>Wallet</t>
  </si>
  <si>
    <t>Debit Card</t>
  </si>
  <si>
    <t>Cash on Delivery</t>
  </si>
  <si>
    <t>Recent Movies Name</t>
  </si>
  <si>
    <t>Inception</t>
  </si>
  <si>
    <t>RRR</t>
  </si>
  <si>
    <t>Dangal</t>
  </si>
  <si>
    <t>Pathaan</t>
  </si>
  <si>
    <t>KGF</t>
  </si>
  <si>
    <t>PK</t>
  </si>
  <si>
    <t>Chennai Express</t>
  </si>
  <si>
    <t>Sigham Returns</t>
  </si>
  <si>
    <t>Rating</t>
  </si>
  <si>
    <t>Raw Data</t>
  </si>
  <si>
    <t>Dyanamic data after Data Validation</t>
  </si>
  <si>
    <t xml:space="preserve">Welcome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</si>
</sst>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1" applyFont="1"/>
    <xf numFmtId="0" fontId="2" fillId="0" borderId="1" xfId="0" applyFont="1" applyBorder="1"/>
    <xf numFmtId="0" fontId="0" fillId="0" borderId="1" xfId="0" applyBorder="1"/>
    <xf numFmtId="9" fontId="0" fillId="0" borderId="1" xfId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2" fillId="0" borderId="0" xfId="0" applyFont="1"/>
    <xf numFmtId="0" fontId="2" fillId="0" borderId="4" xfId="0" applyFont="1" applyBorder="1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workbookViewId="0">
      <selection activeCell="F5" sqref="F5"/>
    </sheetView>
  </sheetViews>
  <sheetFormatPr defaultRowHeight="15" x14ac:dyDescent="0.25"/>
  <cols>
    <col min="1" max="1" width="15.28515625" bestFit="1" customWidth="1"/>
    <col min="2" max="2" width="14.42578125" bestFit="1" customWidth="1"/>
    <col min="3" max="3" width="17.7109375" style="1" bestFit="1" customWidth="1"/>
  </cols>
  <sheetData>
    <row r="2" spans="1:3" x14ac:dyDescent="0.25">
      <c r="A2" s="2" t="s">
        <v>8</v>
      </c>
      <c r="B2" s="2">
        <v>5</v>
      </c>
    </row>
    <row r="4" spans="1:3" x14ac:dyDescent="0.25">
      <c r="A4" s="2" t="s">
        <v>5</v>
      </c>
      <c r="B4" s="2" t="s">
        <v>6</v>
      </c>
      <c r="C4" s="2" t="s">
        <v>7</v>
      </c>
    </row>
    <row r="5" spans="1:3" x14ac:dyDescent="0.25">
      <c r="A5" s="3" t="s">
        <v>0</v>
      </c>
      <c r="B5" s="3">
        <v>3.29</v>
      </c>
      <c r="C5" s="4">
        <f>B5/$B$2</f>
        <v>0.65800000000000003</v>
      </c>
    </row>
    <row r="6" spans="1:3" x14ac:dyDescent="0.25">
      <c r="A6" s="3" t="s">
        <v>1</v>
      </c>
      <c r="B6" s="3">
        <v>3.11</v>
      </c>
      <c r="C6" s="4">
        <f>B6/$B$2</f>
        <v>0.622</v>
      </c>
    </row>
    <row r="7" spans="1:3" x14ac:dyDescent="0.25">
      <c r="A7" s="3" t="s">
        <v>2</v>
      </c>
      <c r="B7" s="3">
        <v>4</v>
      </c>
      <c r="C7" s="4">
        <f>B7/$B$2</f>
        <v>0.8</v>
      </c>
    </row>
    <row r="8" spans="1:3" x14ac:dyDescent="0.25">
      <c r="A8" s="3" t="s">
        <v>3</v>
      </c>
      <c r="B8" s="3">
        <v>4.4000000000000004</v>
      </c>
      <c r="C8" s="4">
        <f>B8/$B$2</f>
        <v>0.88000000000000012</v>
      </c>
    </row>
    <row r="9" spans="1:3" x14ac:dyDescent="0.25">
      <c r="A9" s="3" t="s">
        <v>4</v>
      </c>
      <c r="B9" s="3">
        <v>4.5999999999999996</v>
      </c>
      <c r="C9" s="4">
        <f>B9/$B$2</f>
        <v>0.91999999999999993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2CBB-3D34-41EE-B95D-1A4344C2DE88}">
  <dimension ref="A2:C10"/>
  <sheetViews>
    <sheetView workbookViewId="0">
      <selection activeCell="F9" sqref="F9"/>
    </sheetView>
  </sheetViews>
  <sheetFormatPr defaultRowHeight="15" x14ac:dyDescent="0.25"/>
  <cols>
    <col min="1" max="1" width="20" bestFit="1" customWidth="1"/>
    <col min="2" max="2" width="10.42578125" bestFit="1" customWidth="1"/>
    <col min="3" max="3" width="18.28515625" bestFit="1" customWidth="1"/>
  </cols>
  <sheetData>
    <row r="2" spans="1:3" x14ac:dyDescent="0.25">
      <c r="A2" s="5" t="s">
        <v>15</v>
      </c>
      <c r="B2" s="6">
        <v>1.2</v>
      </c>
    </row>
    <row r="4" spans="1:3" x14ac:dyDescent="0.25">
      <c r="A4" s="5" t="s">
        <v>16</v>
      </c>
      <c r="B4" s="5" t="s">
        <v>17</v>
      </c>
      <c r="C4" s="5" t="s">
        <v>18</v>
      </c>
    </row>
    <row r="5" spans="1:3" x14ac:dyDescent="0.25">
      <c r="A5" s="7" t="s">
        <v>9</v>
      </c>
      <c r="B5" s="8">
        <v>92</v>
      </c>
      <c r="C5" s="8">
        <f t="shared" ref="C5:C10" si="0">B5*$B$2</f>
        <v>110.39999999999999</v>
      </c>
    </row>
    <row r="6" spans="1:3" x14ac:dyDescent="0.25">
      <c r="A6" s="7" t="s">
        <v>10</v>
      </c>
      <c r="B6" s="8">
        <v>89</v>
      </c>
      <c r="C6" s="8">
        <f t="shared" si="0"/>
        <v>106.8</v>
      </c>
    </row>
    <row r="7" spans="1:3" x14ac:dyDescent="0.25">
      <c r="A7" s="7" t="s">
        <v>11</v>
      </c>
      <c r="B7" s="8">
        <v>78</v>
      </c>
      <c r="C7" s="8">
        <f t="shared" si="0"/>
        <v>93.6</v>
      </c>
    </row>
    <row r="8" spans="1:3" x14ac:dyDescent="0.25">
      <c r="A8" s="7" t="s">
        <v>12</v>
      </c>
      <c r="B8" s="8">
        <v>75</v>
      </c>
      <c r="C8" s="8">
        <f t="shared" si="0"/>
        <v>90</v>
      </c>
    </row>
    <row r="9" spans="1:3" x14ac:dyDescent="0.25">
      <c r="A9" s="7" t="s">
        <v>13</v>
      </c>
      <c r="B9" s="8">
        <v>65</v>
      </c>
      <c r="C9" s="8">
        <f t="shared" si="0"/>
        <v>78</v>
      </c>
    </row>
    <row r="10" spans="1:3" x14ac:dyDescent="0.25">
      <c r="A10" s="7" t="s">
        <v>14</v>
      </c>
      <c r="B10" s="8">
        <v>98</v>
      </c>
      <c r="C10" s="8">
        <f t="shared" si="0"/>
        <v>117.6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F3D3-04A7-4A6C-BB7D-769A7DAD0A40}">
  <dimension ref="A2:B7"/>
  <sheetViews>
    <sheetView workbookViewId="0">
      <selection activeCell="E6" sqref="E6"/>
    </sheetView>
  </sheetViews>
  <sheetFormatPr defaultRowHeight="15" x14ac:dyDescent="0.25"/>
  <cols>
    <col min="1" max="1" width="16.28515625" bestFit="1" customWidth="1"/>
    <col min="2" max="2" width="12.5703125" bestFit="1" customWidth="1"/>
  </cols>
  <sheetData>
    <row r="2" spans="1:2" x14ac:dyDescent="0.25">
      <c r="A2" s="2" t="s">
        <v>20</v>
      </c>
      <c r="B2" s="2" t="s">
        <v>19</v>
      </c>
    </row>
    <row r="3" spans="1:2" x14ac:dyDescent="0.25">
      <c r="A3" s="3" t="s">
        <v>23</v>
      </c>
      <c r="B3" s="3">
        <f>COUNTA(_TOP_ARTISTS_)</f>
        <v>5</v>
      </c>
    </row>
    <row r="4" spans="1:2" x14ac:dyDescent="0.25">
      <c r="A4" s="9" t="s">
        <v>24</v>
      </c>
      <c r="B4" s="11"/>
    </row>
    <row r="5" spans="1:2" x14ac:dyDescent="0.25">
      <c r="A5" s="9" t="s">
        <v>21</v>
      </c>
      <c r="B5" s="12"/>
    </row>
    <row r="6" spans="1:2" x14ac:dyDescent="0.25">
      <c r="A6" s="9" t="s">
        <v>22</v>
      </c>
      <c r="B6" s="12"/>
    </row>
    <row r="7" spans="1:2" x14ac:dyDescent="0.25">
      <c r="A7" s="9" t="s">
        <v>25</v>
      </c>
      <c r="B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244F-ED10-46D7-B5AB-3820D31E4C69}">
  <dimension ref="A1:R28"/>
  <sheetViews>
    <sheetView workbookViewId="0">
      <selection activeCell="D8" sqref="D8"/>
    </sheetView>
  </sheetViews>
  <sheetFormatPr defaultRowHeight="15" x14ac:dyDescent="0.25"/>
  <cols>
    <col min="1" max="1" width="9.5703125" bestFit="1" customWidth="1"/>
    <col min="2" max="2" width="20.140625" bestFit="1" customWidth="1"/>
    <col min="3" max="3" width="25.85546875" bestFit="1" customWidth="1"/>
    <col min="4" max="4" width="15.85546875" bestFit="1" customWidth="1"/>
    <col min="5" max="5" width="35" bestFit="1" customWidth="1"/>
    <col min="8" max="8" width="20.140625" bestFit="1" customWidth="1"/>
    <col min="9" max="9" width="15.85546875" bestFit="1" customWidth="1"/>
    <col min="10" max="10" width="14.7109375" bestFit="1" customWidth="1"/>
    <col min="11" max="11" width="20.140625" bestFit="1" customWidth="1"/>
    <col min="12" max="12" width="14.7109375" bestFit="1" customWidth="1"/>
    <col min="13" max="13" width="11.7109375" bestFit="1" customWidth="1"/>
    <col min="14" max="14" width="11.85546875" bestFit="1" customWidth="1"/>
    <col min="15" max="15" width="13.5703125" bestFit="1" customWidth="1"/>
    <col min="16" max="16" width="15.85546875" bestFit="1" customWidth="1"/>
    <col min="17" max="17" width="9.42578125" bestFit="1" customWidth="1"/>
    <col min="18" max="18" width="9.5703125" bestFit="1" customWidth="1"/>
  </cols>
  <sheetData>
    <row r="1" spans="1:18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</row>
    <row r="2" spans="1:18" x14ac:dyDescent="0.25">
      <c r="A2" s="5" t="s">
        <v>31</v>
      </c>
      <c r="B2" s="8" t="s">
        <v>44</v>
      </c>
      <c r="C2" s="8" t="s">
        <v>33</v>
      </c>
      <c r="D2" s="8" t="s">
        <v>78</v>
      </c>
      <c r="E2" s="8" t="s">
        <v>34</v>
      </c>
      <c r="H2" s="5" t="s">
        <v>27</v>
      </c>
      <c r="I2" s="5" t="s">
        <v>29</v>
      </c>
      <c r="J2" s="13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5" t="s">
        <v>35</v>
      </c>
      <c r="B3" s="8" t="s">
        <v>48</v>
      </c>
      <c r="C3" s="8" t="s">
        <v>37</v>
      </c>
      <c r="D3" s="8" t="s">
        <v>80</v>
      </c>
      <c r="E3" s="8" t="s">
        <v>38</v>
      </c>
      <c r="H3" s="8" t="s">
        <v>32</v>
      </c>
      <c r="I3" s="3" t="s">
        <v>76</v>
      </c>
      <c r="J3" s="13"/>
    </row>
    <row r="4" spans="1:18" x14ac:dyDescent="0.25">
      <c r="A4" s="5" t="s">
        <v>39</v>
      </c>
      <c r="B4" s="8" t="s">
        <v>36</v>
      </c>
      <c r="C4" s="8" t="s">
        <v>41</v>
      </c>
      <c r="D4" s="8" t="s">
        <v>79</v>
      </c>
      <c r="E4" s="8" t="s">
        <v>42</v>
      </c>
      <c r="H4" s="8" t="s">
        <v>36</v>
      </c>
      <c r="I4" s="3" t="s">
        <v>77</v>
      </c>
    </row>
    <row r="5" spans="1:18" x14ac:dyDescent="0.25">
      <c r="A5" s="5" t="s">
        <v>43</v>
      </c>
      <c r="B5" s="8" t="s">
        <v>60</v>
      </c>
      <c r="C5" s="8" t="s">
        <v>45</v>
      </c>
      <c r="D5" s="8" t="s">
        <v>76</v>
      </c>
      <c r="E5" s="8" t="s">
        <v>46</v>
      </c>
      <c r="H5" s="8" t="s">
        <v>40</v>
      </c>
      <c r="I5" s="3" t="s">
        <v>78</v>
      </c>
    </row>
    <row r="6" spans="1:18" x14ac:dyDescent="0.25">
      <c r="A6" s="5" t="s">
        <v>47</v>
      </c>
      <c r="B6" s="8" t="s">
        <v>48</v>
      </c>
      <c r="C6" s="8" t="s">
        <v>49</v>
      </c>
      <c r="D6" s="8" t="s">
        <v>77</v>
      </c>
      <c r="E6" s="8" t="s">
        <v>50</v>
      </c>
      <c r="H6" s="8" t="s">
        <v>44</v>
      </c>
      <c r="I6" s="3" t="s">
        <v>79</v>
      </c>
    </row>
    <row r="7" spans="1:18" x14ac:dyDescent="0.25">
      <c r="A7" s="5" t="s">
        <v>51</v>
      </c>
      <c r="B7" s="8" t="s">
        <v>56</v>
      </c>
      <c r="C7" s="8" t="s">
        <v>53</v>
      </c>
      <c r="D7" s="8" t="s">
        <v>81</v>
      </c>
      <c r="E7" s="8" t="s">
        <v>54</v>
      </c>
      <c r="H7" s="8" t="s">
        <v>48</v>
      </c>
      <c r="I7" s="3" t="s">
        <v>80</v>
      </c>
    </row>
    <row r="8" spans="1:18" x14ac:dyDescent="0.25">
      <c r="A8" s="5" t="s">
        <v>55</v>
      </c>
      <c r="B8" s="8" t="s">
        <v>36</v>
      </c>
      <c r="C8" s="8" t="s">
        <v>57</v>
      </c>
      <c r="D8" s="8" t="s">
        <v>78</v>
      </c>
      <c r="E8" s="8" t="s">
        <v>58</v>
      </c>
      <c r="H8" s="8" t="s">
        <v>52</v>
      </c>
      <c r="I8" s="3" t="s">
        <v>81</v>
      </c>
    </row>
    <row r="9" spans="1:18" x14ac:dyDescent="0.25">
      <c r="A9" s="5" t="s">
        <v>59</v>
      </c>
      <c r="B9" s="8" t="s">
        <v>40</v>
      </c>
      <c r="C9" s="8" t="s">
        <v>61</v>
      </c>
      <c r="D9" s="8" t="s">
        <v>80</v>
      </c>
      <c r="E9" s="8" t="s">
        <v>62</v>
      </c>
      <c r="H9" s="8" t="s">
        <v>56</v>
      </c>
      <c r="I9" s="3"/>
    </row>
    <row r="10" spans="1:18" x14ac:dyDescent="0.25">
      <c r="A10" s="5" t="s">
        <v>63</v>
      </c>
      <c r="B10" s="8" t="s">
        <v>44</v>
      </c>
      <c r="C10" s="8" t="s">
        <v>70</v>
      </c>
      <c r="D10" s="8" t="s">
        <v>81</v>
      </c>
      <c r="E10" s="3"/>
      <c r="H10" s="8" t="s">
        <v>60</v>
      </c>
      <c r="I10" s="3"/>
    </row>
    <row r="11" spans="1:18" x14ac:dyDescent="0.25">
      <c r="A11" s="5" t="s">
        <v>64</v>
      </c>
      <c r="B11" s="8" t="s">
        <v>52</v>
      </c>
      <c r="C11" s="8" t="s">
        <v>71</v>
      </c>
      <c r="D11" s="8" t="s">
        <v>80</v>
      </c>
      <c r="E11" s="3"/>
    </row>
    <row r="12" spans="1:18" x14ac:dyDescent="0.25">
      <c r="A12" s="5" t="s">
        <v>65</v>
      </c>
      <c r="B12" s="8" t="s">
        <v>48</v>
      </c>
      <c r="C12" s="8" t="s">
        <v>72</v>
      </c>
      <c r="D12" s="8" t="s">
        <v>76</v>
      </c>
      <c r="E12" s="3"/>
    </row>
    <row r="13" spans="1:18" x14ac:dyDescent="0.25">
      <c r="A13" s="5" t="s">
        <v>66</v>
      </c>
      <c r="B13" s="8" t="s">
        <v>32</v>
      </c>
      <c r="C13" s="8" t="s">
        <v>73</v>
      </c>
      <c r="D13" s="8" t="s">
        <v>77</v>
      </c>
      <c r="E13" s="3"/>
    </row>
    <row r="14" spans="1:18" x14ac:dyDescent="0.25">
      <c r="A14" s="5" t="s">
        <v>67</v>
      </c>
      <c r="B14" s="8" t="s">
        <v>40</v>
      </c>
      <c r="C14" s="8" t="s">
        <v>74</v>
      </c>
      <c r="D14" s="8" t="s">
        <v>79</v>
      </c>
      <c r="E14" s="3"/>
    </row>
    <row r="15" spans="1:18" x14ac:dyDescent="0.25">
      <c r="A15" s="5" t="s">
        <v>68</v>
      </c>
      <c r="B15" s="8" t="s">
        <v>56</v>
      </c>
      <c r="C15" s="8" t="s">
        <v>75</v>
      </c>
      <c r="D15" s="8" t="s">
        <v>78</v>
      </c>
      <c r="E15" s="3"/>
    </row>
    <row r="16" spans="1:18" x14ac:dyDescent="0.25">
      <c r="A16" s="5" t="s">
        <v>69</v>
      </c>
      <c r="B16" s="8" t="s">
        <v>32</v>
      </c>
      <c r="C16" s="8" t="s">
        <v>41</v>
      </c>
      <c r="D16" s="15" t="s">
        <v>81</v>
      </c>
      <c r="E16" s="3"/>
    </row>
    <row r="17" spans="4:4" x14ac:dyDescent="0.25">
      <c r="D17" s="16"/>
    </row>
    <row r="18" spans="4:4" x14ac:dyDescent="0.25">
      <c r="D18" s="14"/>
    </row>
    <row r="19" spans="4:4" x14ac:dyDescent="0.25">
      <c r="D19" s="14"/>
    </row>
    <row r="20" spans="4:4" x14ac:dyDescent="0.25">
      <c r="D20" s="14"/>
    </row>
    <row r="21" spans="4:4" x14ac:dyDescent="0.25">
      <c r="D21" s="14"/>
    </row>
    <row r="22" spans="4:4" x14ac:dyDescent="0.25">
      <c r="D22" s="14"/>
    </row>
    <row r="23" spans="4:4" x14ac:dyDescent="0.25">
      <c r="D23" s="14"/>
    </row>
    <row r="24" spans="4:4" x14ac:dyDescent="0.25">
      <c r="D24" s="14"/>
    </row>
    <row r="25" spans="4:4" x14ac:dyDescent="0.25">
      <c r="D25" s="14"/>
    </row>
    <row r="26" spans="4:4" x14ac:dyDescent="0.25">
      <c r="D26" s="14"/>
    </row>
    <row r="27" spans="4:4" x14ac:dyDescent="0.25">
      <c r="D27" s="14"/>
    </row>
    <row r="28" spans="4:4" x14ac:dyDescent="0.25">
      <c r="D28" s="14"/>
    </row>
  </sheetData>
  <phoneticPr fontId="3" type="noConversion"/>
  <dataValidations count="3">
    <dataValidation type="list" allowBlank="1" showInputMessage="1" showErrorMessage="1" sqref="D3:D16" xr:uid="{81E875CF-3259-4437-A08F-C0A65F9CEEDC}">
      <formula1>$I$3:$I$8</formula1>
    </dataValidation>
    <dataValidation type="list" allowBlank="1" showInputMessage="1" showErrorMessage="1" sqref="B2:B16" xr:uid="{BD91AA45-6453-4DD7-9B5A-12DFDC1E9D0F}">
      <formula1>$H$3:$H$10</formula1>
    </dataValidation>
    <dataValidation type="list" allowBlank="1" showInputMessage="1" showErrorMessage="1" sqref="D2 D17:D28" xr:uid="{7BE44C0A-43A6-43F4-8C9F-E22CAD129668}">
      <formula1>$I$3:$I$9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0159-B859-4EE6-AA81-C84A689C4A3E}">
  <dimension ref="A1:F467"/>
  <sheetViews>
    <sheetView tabSelected="1" topLeftCell="A2" workbookViewId="0">
      <selection activeCell="E4" sqref="E4"/>
    </sheetView>
  </sheetViews>
  <sheetFormatPr defaultRowHeight="15" x14ac:dyDescent="0.25"/>
  <cols>
    <col min="1" max="1" width="20.140625" bestFit="1" customWidth="1"/>
    <col min="5" max="5" width="20.140625" style="10" bestFit="1" customWidth="1"/>
    <col min="6" max="6" width="14" customWidth="1"/>
  </cols>
  <sheetData>
    <row r="1" spans="1:6" x14ac:dyDescent="0.25">
      <c r="E1"/>
    </row>
    <row r="2" spans="1:6" x14ac:dyDescent="0.25">
      <c r="A2" s="17" t="s">
        <v>92</v>
      </c>
      <c r="B2" s="17"/>
      <c r="E2" s="18" t="s">
        <v>93</v>
      </c>
      <c r="F2" s="18"/>
    </row>
    <row r="3" spans="1:6" x14ac:dyDescent="0.25">
      <c r="A3" s="2" t="s">
        <v>82</v>
      </c>
      <c r="B3" s="2" t="s">
        <v>91</v>
      </c>
      <c r="E3" s="2" t="s">
        <v>82</v>
      </c>
      <c r="F3" s="2" t="s">
        <v>91</v>
      </c>
    </row>
    <row r="4" spans="1:6" x14ac:dyDescent="0.25">
      <c r="A4" s="3" t="s">
        <v>90</v>
      </c>
      <c r="B4" s="3">
        <v>5.7</v>
      </c>
      <c r="E4" s="3" t="s">
        <v>83</v>
      </c>
      <c r="F4" s="3">
        <f>IF(ISBLANK(B4),"",VLOOKUP(E4,$A$3:B1026000,MATCH($B$3,$A$3:$B$3,0),0))</f>
        <v>8.8000000000000007</v>
      </c>
    </row>
    <row r="5" spans="1:6" x14ac:dyDescent="0.25">
      <c r="A5" s="3" t="s">
        <v>88</v>
      </c>
      <c r="B5" s="3">
        <v>8.1</v>
      </c>
      <c r="E5" s="3" t="s">
        <v>88</v>
      </c>
      <c r="F5" s="3">
        <f>IF(ISBLANK(B5),"",VLOOKUP(E5,$A$3:B1026001,MATCH($B$3,$A$3:$B$3,0),0))</f>
        <v>8.1</v>
      </c>
    </row>
    <row r="6" spans="1:6" x14ac:dyDescent="0.25">
      <c r="A6" s="3" t="s">
        <v>89</v>
      </c>
      <c r="B6" s="3">
        <v>6.3</v>
      </c>
      <c r="E6" s="3" t="s">
        <v>85</v>
      </c>
      <c r="F6" s="3">
        <f>IF(ISBLANK(B6),"",VLOOKUP(E6,$A$3:B1026002,MATCH($B$3,$A$3:$B$3,0),0))</f>
        <v>8.3000000000000007</v>
      </c>
    </row>
    <row r="7" spans="1:6" x14ac:dyDescent="0.25">
      <c r="A7" s="3" t="s">
        <v>83</v>
      </c>
      <c r="B7" s="3">
        <v>8.8000000000000007</v>
      </c>
      <c r="E7" s="3" t="s">
        <v>89</v>
      </c>
      <c r="F7" s="3">
        <f>IF(ISBLANK(B7),"",VLOOKUP(E7,$A$3:B1026003,MATCH($B$3,$A$3:$B$3,0),0))</f>
        <v>6.3</v>
      </c>
    </row>
    <row r="8" spans="1:6" x14ac:dyDescent="0.25">
      <c r="A8" s="3" t="s">
        <v>84</v>
      </c>
      <c r="B8" s="3">
        <v>7.8</v>
      </c>
      <c r="E8" s="3" t="s">
        <v>94</v>
      </c>
      <c r="F8" s="3">
        <f>IF(ISBLANK(B8),"",VLOOKUP(E8,$A$3:B1026004,MATCH($B$3,$A$3:$B$3,0),0))</f>
        <v>8.9</v>
      </c>
    </row>
    <row r="9" spans="1:6" x14ac:dyDescent="0.25">
      <c r="A9" s="3" t="s">
        <v>85</v>
      </c>
      <c r="B9" s="3">
        <v>8.3000000000000007</v>
      </c>
      <c r="E9" s="3" t="s">
        <v>90</v>
      </c>
      <c r="F9" s="3">
        <f>IF(ISBLANK(B9),"",VLOOKUP(E9,$A$3:B1026005,MATCH($B$3,$A$3:$B$3,0),0))</f>
        <v>5.7</v>
      </c>
    </row>
    <row r="10" spans="1:6" x14ac:dyDescent="0.25">
      <c r="A10" s="3" t="s">
        <v>86</v>
      </c>
      <c r="B10" s="3">
        <v>5.8</v>
      </c>
      <c r="E10" s="3" t="s">
        <v>84</v>
      </c>
      <c r="F10" s="3">
        <f>IF(ISBLANK(B10),"",VLOOKUP(E10,$A$3:B1026006,MATCH($B$3,$A$3:$B$3,0),0))</f>
        <v>7.8</v>
      </c>
    </row>
    <row r="11" spans="1:6" x14ac:dyDescent="0.25">
      <c r="A11" s="3" t="s">
        <v>87</v>
      </c>
      <c r="B11" s="3">
        <v>8.1</v>
      </c>
      <c r="E11" s="3" t="s">
        <v>87</v>
      </c>
      <c r="F11" s="3">
        <f>IF(ISBLANK(B11),"",VLOOKUP(E11,$A$3:B1026007,MATCH($B$3,$A$3:$B$3,0),0))</f>
        <v>8.1</v>
      </c>
    </row>
    <row r="12" spans="1:6" x14ac:dyDescent="0.25">
      <c r="A12" s="3" t="s">
        <v>94</v>
      </c>
      <c r="B12" s="3">
        <v>8.9</v>
      </c>
      <c r="E12" s="3" t="s">
        <v>86</v>
      </c>
      <c r="F12" s="3">
        <f>IF(ISBLANK(B12),"",VLOOKUP(E12,$A$3:B1026008,MATCH($B$3,$A$3:$B$3,0),0))</f>
        <v>5.8</v>
      </c>
    </row>
    <row r="13" spans="1:6" x14ac:dyDescent="0.25">
      <c r="A13" s="3"/>
      <c r="B13" s="3"/>
      <c r="E13" s="3"/>
      <c r="F13" s="3" t="str">
        <f>IF(ISBLANK(B13),"",VLOOKUP(E13,$A$3:B1026009,MATCH($B$3,$A$3:$B$3,0),0))</f>
        <v/>
      </c>
    </row>
    <row r="14" spans="1:6" x14ac:dyDescent="0.25">
      <c r="A14" s="3"/>
      <c r="B14" s="3"/>
      <c r="E14" s="3"/>
      <c r="F14" s="3" t="str">
        <f>IF(ISBLANK(B14),"",VLOOKUP(E14,$A$3:B1026010,MATCH($B$3,$A$3:$B$3,0),0))</f>
        <v/>
      </c>
    </row>
    <row r="15" spans="1:6" x14ac:dyDescent="0.25">
      <c r="A15" s="3"/>
      <c r="B15" s="3"/>
      <c r="E15" s="3"/>
      <c r="F15" s="3" t="str">
        <f>IF(ISBLANK(B15),"",VLOOKUP(E15,$A$3:B1026011,MATCH($B$3,$A$3:$B$3,0),0))</f>
        <v/>
      </c>
    </row>
    <row r="16" spans="1:6" x14ac:dyDescent="0.25">
      <c r="A16" s="3"/>
      <c r="B16" s="3"/>
      <c r="E16" s="3"/>
      <c r="F16" s="3" t="str">
        <f>IF(ISBLANK(B16),"",VLOOKUP(E16,$A$3:B1026012,MATCH($B$3,$A$3:$B$3,0),0))</f>
        <v/>
      </c>
    </row>
    <row r="17" spans="1:6" x14ac:dyDescent="0.25">
      <c r="A17" s="3"/>
      <c r="B17" s="3"/>
      <c r="E17" s="3"/>
      <c r="F17" s="3" t="str">
        <f>IF(ISBLANK(B17),"",VLOOKUP(E17,$A$3:B1026013,MATCH($B$3,$A$3:$B$3,0),0))</f>
        <v/>
      </c>
    </row>
    <row r="18" spans="1:6" x14ac:dyDescent="0.25">
      <c r="A18" s="3"/>
      <c r="B18" s="3"/>
      <c r="E18" s="3"/>
      <c r="F18" s="3" t="str">
        <f>IF(ISBLANK(B18),"",VLOOKUP(E18,$A$3:B1026014,MATCH($B$3,$A$3:$B$3,0),0))</f>
        <v/>
      </c>
    </row>
    <row r="19" spans="1:6" x14ac:dyDescent="0.25">
      <c r="A19" s="3"/>
      <c r="B19" s="3"/>
      <c r="E19" s="3"/>
      <c r="F19" s="3" t="str">
        <f>IF(ISBLANK(B19),"",VLOOKUP(E19,$A$3:B1026015,MATCH($B$3,$A$3:$B$3,0),0))</f>
        <v/>
      </c>
    </row>
    <row r="20" spans="1:6" x14ac:dyDescent="0.25">
      <c r="A20" s="3"/>
      <c r="B20" s="3"/>
      <c r="E20" s="3"/>
      <c r="F20" s="3" t="str">
        <f>IF(ISBLANK(B20),"",VLOOKUP(E20,$A$3:B1026016,MATCH($B$3,$A$3:$B$3,0),0))</f>
        <v/>
      </c>
    </row>
    <row r="21" spans="1:6" x14ac:dyDescent="0.25">
      <c r="E21"/>
    </row>
    <row r="22" spans="1:6" x14ac:dyDescent="0.25">
      <c r="E22"/>
    </row>
    <row r="23" spans="1:6" x14ac:dyDescent="0.25">
      <c r="E23"/>
    </row>
    <row r="24" spans="1:6" x14ac:dyDescent="0.25">
      <c r="E24"/>
    </row>
    <row r="25" spans="1:6" x14ac:dyDescent="0.25">
      <c r="E25"/>
    </row>
    <row r="26" spans="1:6" x14ac:dyDescent="0.25">
      <c r="E26"/>
    </row>
    <row r="27" spans="1:6" x14ac:dyDescent="0.25">
      <c r="E27"/>
    </row>
    <row r="28" spans="1:6" x14ac:dyDescent="0.25">
      <c r="E28"/>
    </row>
    <row r="29" spans="1:6" x14ac:dyDescent="0.25">
      <c r="E29"/>
    </row>
    <row r="30" spans="1:6" x14ac:dyDescent="0.25">
      <c r="E30"/>
    </row>
    <row r="31" spans="1:6" x14ac:dyDescent="0.25">
      <c r="E31"/>
    </row>
    <row r="32" spans="1:6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</sheetData>
  <mergeCells count="2">
    <mergeCell ref="A2:B2"/>
    <mergeCell ref="E2:F2"/>
  </mergeCells>
  <dataValidations count="1">
    <dataValidation type="list" allowBlank="1" showInputMessage="1" showErrorMessage="1" sqref="E4:E1048576" xr:uid="{B04EA83B-0990-4D40-8B55-676F20C51789}">
      <formula1>Recent_Movies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'3'!_TOP_ARTISTS_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2026-07-01T17:27:45Z</dcterms:modified>
</cp:coreProperties>
</file>