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TOP TECHS\data anaylitics\Excel\Assignment\"/>
    </mc:Choice>
  </mc:AlternateContent>
  <xr:revisionPtr revIDLastSave="0" documentId="13_ncr:1_{3DF085C5-3878-44B1-A803-2B9C647CFF28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1" sheetId="1" r:id="rId1"/>
    <sheet name="2" sheetId="2" r:id="rId2"/>
    <sheet name="3" sheetId="3" r:id="rId3"/>
    <sheet name="4" sheetId="4" r:id="rId4"/>
  </sheets>
  <definedNames>
    <definedName name="_xlnm._FilterDatabase" localSheetId="0" hidden="1">'1'!$B$4:$E$19</definedName>
    <definedName name="_xlnm._FilterDatabase" localSheetId="3" hidden="1">'4'!$B$3:$F$13</definedName>
    <definedName name="_xlnm.Criteria" localSheetId="0">'1'!$G$4:$H$5</definedName>
    <definedName name="_xlnm.Extract" localSheetId="0">'1'!$I$7:$L$7</definedName>
    <definedName name="Z_7273ACCE_D284_495E_8AFF_21DACD2C1FA8_.wvu.FilterData" localSheetId="0" hidden="1">'1'!$B$4:$E$19</definedName>
    <definedName name="Z_7273ACCE_D284_495E_8AFF_21DACD2C1FA8_.wvu.FilterData" localSheetId="3" hidden="1">'4'!$B$3:$F$13</definedName>
    <definedName name="Z_7B36C87F_B6F0_4A11_8418_01DE29D77A2E_.wvu.FilterData" localSheetId="0" hidden="1">'1'!$B$4:$E$19</definedName>
    <definedName name="Z_7B36C87F_B6F0_4A11_8418_01DE29D77A2E_.wvu.FilterData" localSheetId="3" hidden="1">'4'!$B$3:$F$13</definedName>
  </definedNames>
  <calcPr calcId="191029"/>
  <customWorkbookViews>
    <customWorkbookView name="Youtube Data" guid="{7B36C87F-B6F0-4A11-8418-01DE29D77A2E}" maximized="1" xWindow="-8" yWindow="-8" windowWidth="1382" windowHeight="744" activeSheetId="4"/>
    <customWorkbookView name="High Engagement Rate" guid="{7273ACCE-D284-495E-8AFF-21DACD2C1FA8}" maximized="1" xWindow="-8" yWindow="-8" windowWidth="1382" windowHeight="744" activeSheetId="4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3" l="1" a="1"/>
  <c r="J8" i="3" s="1"/>
  <c r="J8" i="2" a="1"/>
  <c r="J8" i="2" s="1"/>
  <c r="I8" i="1" a="1"/>
  <c r="I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<sst xmlns="http://schemas.openxmlformats.org/spreadsheetml/2006/main" count="205" uniqueCount="123">
  <si>
    <t>Order ID</t>
  </si>
  <si>
    <t>Restaurant Name</t>
  </si>
  <si>
    <t>Amount</t>
  </si>
  <si>
    <t>City</t>
  </si>
  <si>
    <t>Swagat Restaurant</t>
  </si>
  <si>
    <t>Ahmedabad</t>
  </si>
  <si>
    <t>Honest</t>
  </si>
  <si>
    <t>Rajdhani Thali</t>
  </si>
  <si>
    <t>Mirch Masala</t>
  </si>
  <si>
    <t>Surat</t>
  </si>
  <si>
    <t>La Milano Pizza</t>
  </si>
  <si>
    <t>McDonald’s</t>
  </si>
  <si>
    <t>Subway</t>
  </si>
  <si>
    <t>KFC</t>
  </si>
  <si>
    <t>Dominos</t>
  </si>
  <si>
    <t>Vadodara</t>
  </si>
  <si>
    <t>Pizza Hut</t>
  </si>
  <si>
    <t>Barbeque Nation</t>
  </si>
  <si>
    <t>Biryani House</t>
  </si>
  <si>
    <t>Urban Chowk</t>
  </si>
  <si>
    <t>Gwalia Sweets</t>
  </si>
  <si>
    <t>Shree Maruti Bhoj</t>
  </si>
  <si>
    <t>Mumbai</t>
  </si>
  <si>
    <t>mumbai</t>
  </si>
  <si>
    <t>Restaurant data in Ahmedabad having amount more then 800</t>
  </si>
  <si>
    <t>Order No</t>
  </si>
  <si>
    <t>Product</t>
  </si>
  <si>
    <t>Price</t>
  </si>
  <si>
    <t>Payment Method</t>
  </si>
  <si>
    <t>Status</t>
  </si>
  <si>
    <t>Headphones</t>
  </si>
  <si>
    <t>UPI</t>
  </si>
  <si>
    <t>Delivered</t>
  </si>
  <si>
    <t>Laptop Bag</t>
  </si>
  <si>
    <t>Card</t>
  </si>
  <si>
    <t>Pending</t>
  </si>
  <si>
    <t>Smartwatch</t>
  </si>
  <si>
    <t>Shipped</t>
  </si>
  <si>
    <t>Shoes</t>
  </si>
  <si>
    <t>Cash</t>
  </si>
  <si>
    <t>Keyboard</t>
  </si>
  <si>
    <t>Cancelled</t>
  </si>
  <si>
    <t>Mobile Phone</t>
  </si>
  <si>
    <t>T-shirt</t>
  </si>
  <si>
    <t>NetBanking</t>
  </si>
  <si>
    <t>Power Bank</t>
  </si>
  <si>
    <t>Sunglasses</t>
  </si>
  <si>
    <t>Bluetooth Mic</t>
  </si>
  <si>
    <t>Backpack</t>
  </si>
  <si>
    <t>Tablet</t>
  </si>
  <si>
    <t>Jeans</t>
  </si>
  <si>
    <t>Monitor</t>
  </si>
  <si>
    <t>Mouse</t>
  </si>
  <si>
    <t>Jacket</t>
  </si>
  <si>
    <t>Charger</t>
  </si>
  <si>
    <t>Speaker</t>
  </si>
  <si>
    <t>Watch Strap</t>
  </si>
  <si>
    <t>Gaming Console</t>
  </si>
  <si>
    <t>Table Show Data of either payment method is UPI or Status is Delivered</t>
  </si>
  <si>
    <t>Booking ID</t>
  </si>
  <si>
    <t>Movie Name</t>
  </si>
  <si>
    <t>Region</t>
  </si>
  <si>
    <t>Seats Booked</t>
  </si>
  <si>
    <t>Total Amount</t>
  </si>
  <si>
    <t>B001</t>
  </si>
  <si>
    <t>Inception</t>
  </si>
  <si>
    <t>B002</t>
  </si>
  <si>
    <t>Interstellar</t>
  </si>
  <si>
    <t>B003</t>
  </si>
  <si>
    <t>Avatar</t>
  </si>
  <si>
    <t>B004</t>
  </si>
  <si>
    <t>The Dark Knight</t>
  </si>
  <si>
    <t>B005</t>
  </si>
  <si>
    <t>Titanic</t>
  </si>
  <si>
    <t>B006</t>
  </si>
  <si>
    <t>Avengers Endgame</t>
  </si>
  <si>
    <t>B007</t>
  </si>
  <si>
    <t>Joker</t>
  </si>
  <si>
    <t>B008</t>
  </si>
  <si>
    <t>Frozen II</t>
  </si>
  <si>
    <t>B009</t>
  </si>
  <si>
    <t>Spider-Man: No Way Home</t>
  </si>
  <si>
    <t>B010</t>
  </si>
  <si>
    <t>The Lion King</t>
  </si>
  <si>
    <t>B011</t>
  </si>
  <si>
    <t>Doctor Strange</t>
  </si>
  <si>
    <t>B012</t>
  </si>
  <si>
    <t>Black Panther</t>
  </si>
  <si>
    <t>West</t>
  </si>
  <si>
    <t>North</t>
  </si>
  <si>
    <t>South</t>
  </si>
  <si>
    <t>East</t>
  </si>
  <si>
    <t>Central</t>
  </si>
  <si>
    <t>Data showing Amount of ticket&gt;1000 in west region</t>
  </si>
  <si>
    <t>Campaign ID</t>
  </si>
  <si>
    <t>Influencer Name</t>
  </si>
  <si>
    <t>Followers</t>
  </si>
  <si>
    <t>Engagement Rate</t>
  </si>
  <si>
    <t>Platform</t>
  </si>
  <si>
    <t>C001</t>
  </si>
  <si>
    <t>Ayesha Khan</t>
  </si>
  <si>
    <t>Instagram</t>
  </si>
  <si>
    <t>C002</t>
  </si>
  <si>
    <t>Rahul Mehta</t>
  </si>
  <si>
    <t>C003</t>
  </si>
  <si>
    <t>Sneha Patel</t>
  </si>
  <si>
    <t>C004</t>
  </si>
  <si>
    <t>Arjun Verma</t>
  </si>
  <si>
    <t>C005</t>
  </si>
  <si>
    <t>Priya Sharma</t>
  </si>
  <si>
    <t>C006</t>
  </si>
  <si>
    <t>Karan Singh</t>
  </si>
  <si>
    <t>C007</t>
  </si>
  <si>
    <t>Neha Joshi</t>
  </si>
  <si>
    <t>C008</t>
  </si>
  <si>
    <t>Dev Malhotra</t>
  </si>
  <si>
    <t>C009</t>
  </si>
  <si>
    <t>Riya Kapoor</t>
  </si>
  <si>
    <t>C010</t>
  </si>
  <si>
    <t>Manish Gupta</t>
  </si>
  <si>
    <t>Facebook</t>
  </si>
  <si>
    <t>YouTube</t>
  </si>
  <si>
    <t>Here, to switch the filter view between the high engagement rate (i.e. above .05) and youtube campaign only I have used custom review where it is saved and easy to switch and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</si>
</sst>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1" fillId="0" borderId="0" xfId="0" applyFont="1" applyBorder="1"/>
    <xf numFmtId="3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9"/>
  <sheetViews>
    <sheetView workbookViewId="0">
      <selection activeCell="I9" sqref="I9"/>
    </sheetView>
  </sheetViews>
  <sheetFormatPr defaultRowHeight="15" x14ac:dyDescent="0.25"/>
  <cols>
    <col min="2" max="2" width="8.85546875" bestFit="1" customWidth="1"/>
    <col min="3" max="3" width="17.5703125" bestFit="1" customWidth="1"/>
    <col min="4" max="4" width="8.140625" bestFit="1" customWidth="1"/>
    <col min="5" max="5" width="11.7109375" bestFit="1" customWidth="1"/>
    <col min="8" max="9" width="11.7109375" bestFit="1" customWidth="1"/>
    <col min="10" max="10" width="17.5703125" bestFit="1" customWidth="1"/>
    <col min="11" max="11" width="8.28515625" bestFit="1" customWidth="1"/>
    <col min="12" max="12" width="18.140625" customWidth="1"/>
  </cols>
  <sheetData>
    <row r="2" spans="2:12" x14ac:dyDescent="0.25">
      <c r="B2" s="6"/>
    </row>
    <row r="4" spans="2:12" x14ac:dyDescent="0.25">
      <c r="B4" s="1" t="s">
        <v>0</v>
      </c>
      <c r="C4" s="1" t="s">
        <v>1</v>
      </c>
      <c r="D4" s="1" t="s">
        <v>2</v>
      </c>
      <c r="E4" s="1" t="s">
        <v>3</v>
      </c>
      <c r="G4" s="1" t="s">
        <v>2</v>
      </c>
      <c r="H4" s="5" t="s">
        <v>3</v>
      </c>
      <c r="I4" s="2" t="s">
        <v>5</v>
      </c>
      <c r="J4" s="2" t="s">
        <v>9</v>
      </c>
      <c r="K4" s="2" t="s">
        <v>23</v>
      </c>
      <c r="L4" s="2" t="s">
        <v>15</v>
      </c>
    </row>
    <row r="5" spans="2:12" x14ac:dyDescent="0.25">
      <c r="B5" s="1">
        <v>101</v>
      </c>
      <c r="C5" s="2" t="s">
        <v>4</v>
      </c>
      <c r="D5" s="2">
        <v>950</v>
      </c>
      <c r="E5" s="2" t="s">
        <v>5</v>
      </c>
      <c r="G5">
        <v>800</v>
      </c>
      <c r="H5" s="3" t="s">
        <v>5</v>
      </c>
    </row>
    <row r="6" spans="2:12" x14ac:dyDescent="0.25">
      <c r="B6" s="1">
        <v>102</v>
      </c>
      <c r="C6" s="2" t="s">
        <v>6</v>
      </c>
      <c r="D6" s="2">
        <v>750</v>
      </c>
      <c r="E6" s="2" t="s">
        <v>22</v>
      </c>
    </row>
    <row r="7" spans="2:12" x14ac:dyDescent="0.25">
      <c r="B7" s="1">
        <v>103</v>
      </c>
      <c r="C7" s="2" t="s">
        <v>7</v>
      </c>
      <c r="D7" s="2">
        <v>1200</v>
      </c>
      <c r="E7" s="2" t="s">
        <v>5</v>
      </c>
      <c r="I7" s="7" t="s">
        <v>24</v>
      </c>
      <c r="J7" s="7"/>
      <c r="K7" s="7"/>
      <c r="L7" s="7"/>
    </row>
    <row r="8" spans="2:12" x14ac:dyDescent="0.25">
      <c r="B8" s="1">
        <v>104</v>
      </c>
      <c r="C8" s="2" t="s">
        <v>8</v>
      </c>
      <c r="D8" s="2">
        <v>650</v>
      </c>
      <c r="E8" s="2" t="s">
        <v>9</v>
      </c>
      <c r="I8" s="4" cm="1">
        <f t="array" ref="I8:L14">_xlfn._xlws.FILTER($B$4:$E$19,($D$4:$D$19&gt;$G$5)*($E$4:$E$19=$H$5),"no data")</f>
        <v>101</v>
      </c>
      <c r="J8" s="3" t="str">
        <v>Swagat Restaurant</v>
      </c>
      <c r="K8" s="3">
        <v>950</v>
      </c>
      <c r="L8" s="3" t="str">
        <v>Ahmedabad</v>
      </c>
    </row>
    <row r="9" spans="2:12" x14ac:dyDescent="0.25">
      <c r="B9" s="1">
        <v>105</v>
      </c>
      <c r="C9" s="2" t="s">
        <v>10</v>
      </c>
      <c r="D9" s="2">
        <v>890</v>
      </c>
      <c r="E9" s="2" t="s">
        <v>5</v>
      </c>
      <c r="I9" s="4">
        <v>103</v>
      </c>
      <c r="J9" s="3" t="str">
        <v>Rajdhani Thali</v>
      </c>
      <c r="K9" s="3">
        <v>1200</v>
      </c>
      <c r="L9" s="3" t="str">
        <v>Ahmedabad</v>
      </c>
    </row>
    <row r="10" spans="2:12" x14ac:dyDescent="0.25">
      <c r="B10" s="1">
        <v>106</v>
      </c>
      <c r="C10" s="2" t="s">
        <v>11</v>
      </c>
      <c r="D10" s="2">
        <v>500</v>
      </c>
      <c r="E10" s="2" t="s">
        <v>5</v>
      </c>
      <c r="I10" s="4">
        <v>105</v>
      </c>
      <c r="J10" s="3" t="str">
        <v>La Milano Pizza</v>
      </c>
      <c r="K10" s="3">
        <v>890</v>
      </c>
      <c r="L10" s="3" t="str">
        <v>Ahmedabad</v>
      </c>
    </row>
    <row r="11" spans="2:12" x14ac:dyDescent="0.25">
      <c r="B11" s="1">
        <v>107</v>
      </c>
      <c r="C11" s="2" t="s">
        <v>12</v>
      </c>
      <c r="D11" s="2">
        <v>820</v>
      </c>
      <c r="E11" s="2" t="s">
        <v>22</v>
      </c>
      <c r="I11" s="4">
        <v>108</v>
      </c>
      <c r="J11" s="3" t="str">
        <v>KFC</v>
      </c>
      <c r="K11" s="3">
        <v>1100</v>
      </c>
      <c r="L11" s="3" t="str">
        <v>Ahmedabad</v>
      </c>
    </row>
    <row r="12" spans="2:12" x14ac:dyDescent="0.25">
      <c r="B12" s="1">
        <v>108</v>
      </c>
      <c r="C12" s="2" t="s">
        <v>13</v>
      </c>
      <c r="D12" s="2">
        <v>1100</v>
      </c>
      <c r="E12" s="2" t="s">
        <v>5</v>
      </c>
      <c r="I12" s="4">
        <v>110</v>
      </c>
      <c r="J12" s="3" t="str">
        <v>Pizza Hut</v>
      </c>
      <c r="K12" s="3">
        <v>950</v>
      </c>
      <c r="L12" s="3" t="str">
        <v>Ahmedabad</v>
      </c>
    </row>
    <row r="13" spans="2:12" x14ac:dyDescent="0.25">
      <c r="B13" s="1">
        <v>109</v>
      </c>
      <c r="C13" s="2" t="s">
        <v>14</v>
      </c>
      <c r="D13" s="2">
        <v>780</v>
      </c>
      <c r="E13" s="2" t="s">
        <v>15</v>
      </c>
      <c r="I13" s="4">
        <v>111</v>
      </c>
      <c r="J13" s="3" t="str">
        <v>Barbeque Nation</v>
      </c>
      <c r="K13" s="3">
        <v>1350</v>
      </c>
      <c r="L13" s="3" t="str">
        <v>Ahmedabad</v>
      </c>
    </row>
    <row r="14" spans="2:12" x14ac:dyDescent="0.25">
      <c r="B14" s="1">
        <v>110</v>
      </c>
      <c r="C14" s="2" t="s">
        <v>16</v>
      </c>
      <c r="D14" s="2">
        <v>950</v>
      </c>
      <c r="E14" s="2" t="s">
        <v>5</v>
      </c>
      <c r="I14" s="4">
        <v>114</v>
      </c>
      <c r="J14" s="3" t="str">
        <v>Gwalia Sweets</v>
      </c>
      <c r="K14" s="3">
        <v>870</v>
      </c>
      <c r="L14" s="3" t="str">
        <v>Ahmedabad</v>
      </c>
    </row>
    <row r="15" spans="2:12" x14ac:dyDescent="0.25">
      <c r="B15" s="1">
        <v>111</v>
      </c>
      <c r="C15" s="2" t="s">
        <v>17</v>
      </c>
      <c r="D15" s="2">
        <v>1350</v>
      </c>
      <c r="E15" s="2" t="s">
        <v>5</v>
      </c>
    </row>
    <row r="16" spans="2:12" x14ac:dyDescent="0.25">
      <c r="B16" s="1">
        <v>112</v>
      </c>
      <c r="C16" s="2" t="s">
        <v>18</v>
      </c>
      <c r="D16" s="2">
        <v>700</v>
      </c>
      <c r="E16" s="2" t="s">
        <v>5</v>
      </c>
    </row>
    <row r="17" spans="2:5" x14ac:dyDescent="0.25">
      <c r="B17" s="1">
        <v>113</v>
      </c>
      <c r="C17" s="2" t="s">
        <v>19</v>
      </c>
      <c r="D17" s="2">
        <v>1050</v>
      </c>
      <c r="E17" s="2" t="s">
        <v>9</v>
      </c>
    </row>
    <row r="18" spans="2:5" x14ac:dyDescent="0.25">
      <c r="B18" s="1">
        <v>114</v>
      </c>
      <c r="C18" s="2" t="s">
        <v>20</v>
      </c>
      <c r="D18" s="2">
        <v>870</v>
      </c>
      <c r="E18" s="2" t="s">
        <v>5</v>
      </c>
    </row>
    <row r="19" spans="2:5" x14ac:dyDescent="0.25">
      <c r="B19" s="1">
        <v>115</v>
      </c>
      <c r="C19" s="2" t="s">
        <v>21</v>
      </c>
      <c r="D19" s="2">
        <v>920</v>
      </c>
      <c r="E19" s="2" t="s">
        <v>15</v>
      </c>
    </row>
  </sheetData>
  <customSheetViews>
    <customSheetView guid="{7B36C87F-B6F0-4A11-8418-01DE29D77A2E}">
      <selection activeCell="I9" sqref="I9"/>
      <pageMargins left="0.7" right="0.7" top="0.75" bottom="0.75" header="0.3" footer="0.3"/>
    </customSheetView>
    <customSheetView guid="{7273ACCE-D284-495E-8AFF-21DACD2C1FA8}">
      <selection activeCell="I9" sqref="I9"/>
      <pageMargins left="0.7" right="0.7" top="0.75" bottom="0.75" header="0.3" footer="0.3"/>
    </customSheetView>
  </customSheetViews>
  <mergeCells count="1">
    <mergeCell ref="I7:L7"/>
  </mergeCells>
  <dataValidations count="1">
    <dataValidation type="list" allowBlank="1" showInputMessage="1" showErrorMessage="1" sqref="H5" xr:uid="{4BB491E8-F127-4CDA-8DF2-4596EFFF0B35}">
      <formula1>$I$4:$L$4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797D-1FAF-4C1F-892B-8F3433B502F5}">
  <dimension ref="B3:O23"/>
  <sheetViews>
    <sheetView topLeftCell="A3" workbookViewId="0">
      <selection activeCell="I10" sqref="I10"/>
    </sheetView>
  </sheetViews>
  <sheetFormatPr defaultRowHeight="15" x14ac:dyDescent="0.25"/>
  <cols>
    <col min="3" max="3" width="15.42578125" bestFit="1" customWidth="1"/>
    <col min="4" max="4" width="6" bestFit="1" customWidth="1"/>
    <col min="5" max="5" width="16.5703125" bestFit="1" customWidth="1"/>
    <col min="6" max="6" width="9.7109375" bestFit="1" customWidth="1"/>
    <col min="8" max="8" width="4.5703125" customWidth="1"/>
    <col min="9" max="9" width="16.5703125" bestFit="1" customWidth="1"/>
    <col min="14" max="14" width="27.42578125" customWidth="1"/>
    <col min="15" max="15" width="11.28515625" bestFit="1" customWidth="1"/>
  </cols>
  <sheetData>
    <row r="3" spans="2:15" x14ac:dyDescent="0.25"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</row>
    <row r="4" spans="2:15" x14ac:dyDescent="0.25">
      <c r="B4" s="10">
        <v>1001</v>
      </c>
      <c r="C4" s="2" t="s">
        <v>30</v>
      </c>
      <c r="D4" s="2">
        <v>1200</v>
      </c>
      <c r="E4" s="2" t="s">
        <v>31</v>
      </c>
      <c r="F4" s="2" t="s">
        <v>32</v>
      </c>
      <c r="I4" s="1" t="s">
        <v>28</v>
      </c>
      <c r="J4" s="11" t="s">
        <v>31</v>
      </c>
      <c r="L4" s="2" t="s">
        <v>39</v>
      </c>
      <c r="M4" s="2" t="s">
        <v>31</v>
      </c>
      <c r="N4" s="2" t="s">
        <v>34</v>
      </c>
      <c r="O4" s="2" t="s">
        <v>44</v>
      </c>
    </row>
    <row r="5" spans="2:15" x14ac:dyDescent="0.25">
      <c r="B5" s="10">
        <v>1002</v>
      </c>
      <c r="C5" s="2" t="s">
        <v>33</v>
      </c>
      <c r="D5" s="2">
        <v>850</v>
      </c>
      <c r="E5" s="2" t="s">
        <v>34</v>
      </c>
      <c r="F5" s="2" t="s">
        <v>35</v>
      </c>
      <c r="I5" s="1" t="s">
        <v>29</v>
      </c>
      <c r="J5" s="11" t="s">
        <v>32</v>
      </c>
      <c r="L5" s="2" t="s">
        <v>32</v>
      </c>
      <c r="M5" s="2" t="s">
        <v>35</v>
      </c>
      <c r="N5" s="2" t="s">
        <v>37</v>
      </c>
    </row>
    <row r="6" spans="2:15" x14ac:dyDescent="0.25">
      <c r="B6" s="10">
        <v>1003</v>
      </c>
      <c r="C6" s="2" t="s">
        <v>36</v>
      </c>
      <c r="D6" s="2">
        <v>2500</v>
      </c>
      <c r="E6" s="2" t="s">
        <v>31</v>
      </c>
      <c r="F6" s="2" t="s">
        <v>37</v>
      </c>
    </row>
    <row r="7" spans="2:15" x14ac:dyDescent="0.25">
      <c r="B7" s="10">
        <v>1004</v>
      </c>
      <c r="C7" s="2" t="s">
        <v>38</v>
      </c>
      <c r="D7" s="2">
        <v>1800</v>
      </c>
      <c r="E7" s="2" t="s">
        <v>39</v>
      </c>
      <c r="F7" s="2" t="s">
        <v>32</v>
      </c>
      <c r="J7" s="12" t="s">
        <v>58</v>
      </c>
      <c r="K7" s="12"/>
      <c r="L7" s="12"/>
      <c r="M7" s="12"/>
      <c r="N7" s="12"/>
    </row>
    <row r="8" spans="2:15" x14ac:dyDescent="0.25">
      <c r="B8" s="10">
        <v>1005</v>
      </c>
      <c r="C8" s="2" t="s">
        <v>40</v>
      </c>
      <c r="D8" s="2">
        <v>950</v>
      </c>
      <c r="E8" s="2" t="s">
        <v>34</v>
      </c>
      <c r="F8" s="2" t="s">
        <v>41</v>
      </c>
      <c r="J8" cm="1">
        <f t="array" ref="J8:N21">_xlfn._xlws.FILTER($B$3:$F$23,($E$3:$E$23=$J$4)+($F$3:$F$23=$J$5),"no data")</f>
        <v>1001</v>
      </c>
      <c r="K8" t="str">
        <v>Headphones</v>
      </c>
      <c r="L8">
        <v>1200</v>
      </c>
      <c r="M8" t="str">
        <v>UPI</v>
      </c>
      <c r="N8" t="str">
        <v>Delivered</v>
      </c>
    </row>
    <row r="9" spans="2:15" x14ac:dyDescent="0.25">
      <c r="B9" s="10">
        <v>1006</v>
      </c>
      <c r="C9" s="2" t="s">
        <v>42</v>
      </c>
      <c r="D9" s="2">
        <v>15000</v>
      </c>
      <c r="E9" s="2" t="s">
        <v>31</v>
      </c>
      <c r="F9" s="2" t="s">
        <v>32</v>
      </c>
      <c r="J9">
        <v>1003</v>
      </c>
      <c r="K9" t="str">
        <v>Smartwatch</v>
      </c>
      <c r="L9">
        <v>2500</v>
      </c>
      <c r="M9" t="str">
        <v>UPI</v>
      </c>
      <c r="N9" t="str">
        <v>Shipped</v>
      </c>
    </row>
    <row r="10" spans="2:15" x14ac:dyDescent="0.25">
      <c r="B10" s="10">
        <v>1007</v>
      </c>
      <c r="C10" s="2" t="s">
        <v>43</v>
      </c>
      <c r="D10" s="2">
        <v>600</v>
      </c>
      <c r="E10" s="2" t="s">
        <v>44</v>
      </c>
      <c r="F10" s="2" t="s">
        <v>32</v>
      </c>
      <c r="J10">
        <v>1004</v>
      </c>
      <c r="K10" t="str">
        <v>Shoes</v>
      </c>
      <c r="L10">
        <v>1800</v>
      </c>
      <c r="M10" t="str">
        <v>Cash</v>
      </c>
      <c r="N10" t="str">
        <v>Delivered</v>
      </c>
    </row>
    <row r="11" spans="2:15" x14ac:dyDescent="0.25">
      <c r="B11" s="10">
        <v>1008</v>
      </c>
      <c r="C11" s="2" t="s">
        <v>45</v>
      </c>
      <c r="D11" s="2">
        <v>1100</v>
      </c>
      <c r="E11" s="2" t="s">
        <v>31</v>
      </c>
      <c r="F11" s="2" t="s">
        <v>35</v>
      </c>
      <c r="J11">
        <v>1006</v>
      </c>
      <c r="K11" t="str">
        <v>Mobile Phone</v>
      </c>
      <c r="L11">
        <v>15000</v>
      </c>
      <c r="M11" t="str">
        <v>UPI</v>
      </c>
      <c r="N11" t="str">
        <v>Delivered</v>
      </c>
    </row>
    <row r="12" spans="2:15" x14ac:dyDescent="0.25">
      <c r="B12" s="10">
        <v>1009</v>
      </c>
      <c r="C12" s="2" t="s">
        <v>46</v>
      </c>
      <c r="D12" s="2">
        <v>700</v>
      </c>
      <c r="E12" s="2" t="s">
        <v>34</v>
      </c>
      <c r="F12" s="2" t="s">
        <v>32</v>
      </c>
      <c r="J12">
        <v>1007</v>
      </c>
      <c r="K12" t="str">
        <v>T-shirt</v>
      </c>
      <c r="L12">
        <v>600</v>
      </c>
      <c r="M12" t="str">
        <v>NetBanking</v>
      </c>
      <c r="N12" t="str">
        <v>Delivered</v>
      </c>
    </row>
    <row r="13" spans="2:15" x14ac:dyDescent="0.25">
      <c r="B13" s="10">
        <v>1010</v>
      </c>
      <c r="C13" s="2" t="s">
        <v>47</v>
      </c>
      <c r="D13" s="2">
        <v>1300</v>
      </c>
      <c r="E13" s="2" t="s">
        <v>39</v>
      </c>
      <c r="F13" s="2" t="s">
        <v>37</v>
      </c>
      <c r="J13">
        <v>1008</v>
      </c>
      <c r="K13" t="str">
        <v>Power Bank</v>
      </c>
      <c r="L13">
        <v>1100</v>
      </c>
      <c r="M13" t="str">
        <v>UPI</v>
      </c>
      <c r="N13" t="str">
        <v>Pending</v>
      </c>
    </row>
    <row r="14" spans="2:15" x14ac:dyDescent="0.25">
      <c r="B14" s="10">
        <v>1011</v>
      </c>
      <c r="C14" s="2" t="s">
        <v>48</v>
      </c>
      <c r="D14" s="2">
        <v>900</v>
      </c>
      <c r="E14" s="2" t="s">
        <v>31</v>
      </c>
      <c r="F14" s="2" t="s">
        <v>32</v>
      </c>
      <c r="J14">
        <v>1009</v>
      </c>
      <c r="K14" t="str">
        <v>Sunglasses</v>
      </c>
      <c r="L14">
        <v>700</v>
      </c>
      <c r="M14" t="str">
        <v>Card</v>
      </c>
      <c r="N14" t="str">
        <v>Delivered</v>
      </c>
    </row>
    <row r="15" spans="2:15" x14ac:dyDescent="0.25">
      <c r="B15" s="10">
        <v>1012</v>
      </c>
      <c r="C15" s="2" t="s">
        <v>49</v>
      </c>
      <c r="D15" s="2">
        <v>12000</v>
      </c>
      <c r="E15" s="2" t="s">
        <v>34</v>
      </c>
      <c r="F15" s="2" t="s">
        <v>35</v>
      </c>
      <c r="J15">
        <v>1011</v>
      </c>
      <c r="K15" t="str">
        <v>Backpack</v>
      </c>
      <c r="L15">
        <v>900</v>
      </c>
      <c r="M15" t="str">
        <v>UPI</v>
      </c>
      <c r="N15" t="str">
        <v>Delivered</v>
      </c>
    </row>
    <row r="16" spans="2:15" x14ac:dyDescent="0.25">
      <c r="B16" s="10">
        <v>1013</v>
      </c>
      <c r="C16" s="2" t="s">
        <v>50</v>
      </c>
      <c r="D16" s="2">
        <v>1500</v>
      </c>
      <c r="E16" s="2" t="s">
        <v>31</v>
      </c>
      <c r="F16" s="2" t="s">
        <v>37</v>
      </c>
      <c r="J16">
        <v>1013</v>
      </c>
      <c r="K16" t="str">
        <v>Jeans</v>
      </c>
      <c r="L16">
        <v>1500</v>
      </c>
      <c r="M16" t="str">
        <v>UPI</v>
      </c>
      <c r="N16" t="str">
        <v>Shipped</v>
      </c>
    </row>
    <row r="17" spans="2:14" x14ac:dyDescent="0.25">
      <c r="B17" s="10">
        <v>1014</v>
      </c>
      <c r="C17" s="2" t="s">
        <v>51</v>
      </c>
      <c r="D17" s="2">
        <v>8000</v>
      </c>
      <c r="E17" s="2" t="s">
        <v>44</v>
      </c>
      <c r="F17" s="2" t="s">
        <v>32</v>
      </c>
      <c r="J17">
        <v>1014</v>
      </c>
      <c r="K17" t="str">
        <v>Monitor</v>
      </c>
      <c r="L17">
        <v>8000</v>
      </c>
      <c r="M17" t="str">
        <v>NetBanking</v>
      </c>
      <c r="N17" t="str">
        <v>Delivered</v>
      </c>
    </row>
    <row r="18" spans="2:14" x14ac:dyDescent="0.25">
      <c r="B18" s="10">
        <v>1015</v>
      </c>
      <c r="C18" s="2" t="s">
        <v>52</v>
      </c>
      <c r="D18" s="2">
        <v>500</v>
      </c>
      <c r="E18" s="2" t="s">
        <v>31</v>
      </c>
      <c r="F18" s="2" t="s">
        <v>41</v>
      </c>
      <c r="J18">
        <v>1015</v>
      </c>
      <c r="K18" t="str">
        <v>Mouse</v>
      </c>
      <c r="L18">
        <v>500</v>
      </c>
      <c r="M18" t="str">
        <v>UPI</v>
      </c>
      <c r="N18" t="str">
        <v>Cancelled</v>
      </c>
    </row>
    <row r="19" spans="2:14" x14ac:dyDescent="0.25">
      <c r="B19" s="10">
        <v>1016</v>
      </c>
      <c r="C19" s="2" t="s">
        <v>53</v>
      </c>
      <c r="D19" s="2">
        <v>2200</v>
      </c>
      <c r="E19" s="2" t="s">
        <v>34</v>
      </c>
      <c r="F19" s="2" t="s">
        <v>32</v>
      </c>
      <c r="J19">
        <v>1016</v>
      </c>
      <c r="K19" t="str">
        <v>Jacket</v>
      </c>
      <c r="L19">
        <v>2200</v>
      </c>
      <c r="M19" t="str">
        <v>Card</v>
      </c>
      <c r="N19" t="str">
        <v>Delivered</v>
      </c>
    </row>
    <row r="20" spans="2:14" x14ac:dyDescent="0.25">
      <c r="B20" s="10">
        <v>1017</v>
      </c>
      <c r="C20" s="2" t="s">
        <v>54</v>
      </c>
      <c r="D20" s="2">
        <v>400</v>
      </c>
      <c r="E20" s="2" t="s">
        <v>39</v>
      </c>
      <c r="F20" s="2" t="s">
        <v>35</v>
      </c>
      <c r="J20">
        <v>1018</v>
      </c>
      <c r="K20" t="str">
        <v>Speaker</v>
      </c>
      <c r="L20">
        <v>3500</v>
      </c>
      <c r="M20" t="str">
        <v>UPI</v>
      </c>
      <c r="N20" t="str">
        <v>Delivered</v>
      </c>
    </row>
    <row r="21" spans="2:14" x14ac:dyDescent="0.25">
      <c r="B21" s="10">
        <v>1018</v>
      </c>
      <c r="C21" s="2" t="s">
        <v>55</v>
      </c>
      <c r="D21" s="2">
        <v>3500</v>
      </c>
      <c r="E21" s="2" t="s">
        <v>31</v>
      </c>
      <c r="F21" s="2" t="s">
        <v>32</v>
      </c>
      <c r="J21">
        <v>1020</v>
      </c>
      <c r="K21" t="str">
        <v>Gaming Console</v>
      </c>
      <c r="L21">
        <v>25000</v>
      </c>
      <c r="M21" t="str">
        <v>NetBanking</v>
      </c>
      <c r="N21" t="str">
        <v>Delivered</v>
      </c>
    </row>
    <row r="22" spans="2:14" x14ac:dyDescent="0.25">
      <c r="B22" s="10">
        <v>1019</v>
      </c>
      <c r="C22" s="2" t="s">
        <v>56</v>
      </c>
      <c r="D22" s="2">
        <v>300</v>
      </c>
      <c r="E22" s="2" t="s">
        <v>34</v>
      </c>
      <c r="F22" s="2" t="s">
        <v>37</v>
      </c>
    </row>
    <row r="23" spans="2:14" x14ac:dyDescent="0.25">
      <c r="B23" s="10">
        <v>1020</v>
      </c>
      <c r="C23" s="2" t="s">
        <v>57</v>
      </c>
      <c r="D23" s="2">
        <v>25000</v>
      </c>
      <c r="E23" s="2" t="s">
        <v>44</v>
      </c>
      <c r="F23" s="2" t="s">
        <v>32</v>
      </c>
    </row>
  </sheetData>
  <customSheetViews>
    <customSheetView guid="{7B36C87F-B6F0-4A11-8418-01DE29D77A2E}" topLeftCell="A3">
      <selection activeCell="I10" sqref="I10"/>
      <pageMargins left="0.7" right="0.7" top="0.75" bottom="0.75" header="0.3" footer="0.3"/>
      <pageSetup orientation="portrait" r:id="rId1"/>
    </customSheetView>
    <customSheetView guid="{7273ACCE-D284-495E-8AFF-21DACD2C1FA8}" topLeftCell="A3">
      <selection activeCell="I10" sqref="I10"/>
      <pageMargins left="0.7" right="0.7" top="0.75" bottom="0.75" header="0.3" footer="0.3"/>
      <pageSetup orientation="portrait" r:id="rId2"/>
    </customSheetView>
  </customSheetViews>
  <mergeCells count="1">
    <mergeCell ref="J7:N7"/>
  </mergeCells>
  <dataValidations count="2">
    <dataValidation type="list" allowBlank="1" showInputMessage="1" showErrorMessage="1" sqref="J4" xr:uid="{99205D57-596B-4808-8B37-84383531404F}">
      <formula1>$L$4:$O$4</formula1>
    </dataValidation>
    <dataValidation type="list" allowBlank="1" showInputMessage="1" showErrorMessage="1" sqref="J5" xr:uid="{83E8603F-10C7-4A49-8F37-A26313AF085E}">
      <formula1>$L$5:$N$5</formula1>
    </dataValidation>
  </dataValidation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E611-C1D0-4D6E-A644-111409A49DE6}">
  <dimension ref="B3:O30"/>
  <sheetViews>
    <sheetView topLeftCell="A3" workbookViewId="0">
      <selection activeCell="N13" sqref="N13"/>
    </sheetView>
  </sheetViews>
  <sheetFormatPr defaultRowHeight="15" x14ac:dyDescent="0.25"/>
  <cols>
    <col min="2" max="2" width="10.42578125" bestFit="1" customWidth="1"/>
    <col min="3" max="3" width="25.28515625" bestFit="1" customWidth="1"/>
    <col min="4" max="4" width="11.7109375" bestFit="1" customWidth="1"/>
    <col min="5" max="5" width="12.85546875" bestFit="1" customWidth="1"/>
    <col min="6" max="6" width="13.140625" bestFit="1" customWidth="1"/>
    <col min="8" max="8" width="13.140625" bestFit="1" customWidth="1"/>
    <col min="11" max="11" width="9.42578125" bestFit="1" customWidth="1"/>
  </cols>
  <sheetData>
    <row r="3" spans="2:15" x14ac:dyDescent="0.25">
      <c r="B3" s="1" t="s">
        <v>59</v>
      </c>
      <c r="C3" s="1" t="s">
        <v>60</v>
      </c>
      <c r="D3" s="1" t="s">
        <v>61</v>
      </c>
      <c r="E3" s="1" t="s">
        <v>62</v>
      </c>
      <c r="F3" s="1" t="s">
        <v>63</v>
      </c>
    </row>
    <row r="4" spans="2:15" x14ac:dyDescent="0.25">
      <c r="B4" s="1" t="s">
        <v>64</v>
      </c>
      <c r="C4" s="2" t="s">
        <v>65</v>
      </c>
      <c r="D4" s="13" t="s">
        <v>88</v>
      </c>
      <c r="E4" s="2">
        <v>3</v>
      </c>
      <c r="F4" s="2">
        <v>1200</v>
      </c>
      <c r="H4" s="1" t="s">
        <v>61</v>
      </c>
      <c r="I4" s="10" t="s">
        <v>88</v>
      </c>
      <c r="K4" s="13" t="s">
        <v>88</v>
      </c>
      <c r="L4" s="13" t="s">
        <v>89</v>
      </c>
      <c r="M4" s="13" t="s">
        <v>90</v>
      </c>
      <c r="N4" s="13" t="s">
        <v>91</v>
      </c>
      <c r="O4" s="13" t="s">
        <v>92</v>
      </c>
    </row>
    <row r="5" spans="2:15" x14ac:dyDescent="0.25">
      <c r="B5" s="1" t="s">
        <v>66</v>
      </c>
      <c r="C5" s="2" t="s">
        <v>67</v>
      </c>
      <c r="D5" s="13" t="s">
        <v>89</v>
      </c>
      <c r="E5" s="2">
        <v>2</v>
      </c>
      <c r="F5" s="2">
        <v>900</v>
      </c>
      <c r="H5" s="1" t="s">
        <v>63</v>
      </c>
      <c r="I5" s="10">
        <v>1000</v>
      </c>
    </row>
    <row r="6" spans="2:15" x14ac:dyDescent="0.25">
      <c r="B6" s="1" t="s">
        <v>68</v>
      </c>
      <c r="C6" s="2" t="s">
        <v>69</v>
      </c>
      <c r="D6" s="13" t="s">
        <v>90</v>
      </c>
      <c r="E6" s="2">
        <v>5</v>
      </c>
      <c r="F6" s="2">
        <v>2500</v>
      </c>
    </row>
    <row r="7" spans="2:15" x14ac:dyDescent="0.25">
      <c r="B7" s="1" t="s">
        <v>70</v>
      </c>
      <c r="C7" s="2" t="s">
        <v>71</v>
      </c>
      <c r="D7" s="13" t="s">
        <v>91</v>
      </c>
      <c r="E7" s="2">
        <v>4</v>
      </c>
      <c r="F7" s="2">
        <v>1600</v>
      </c>
      <c r="J7" s="12" t="s">
        <v>93</v>
      </c>
      <c r="K7" s="12"/>
      <c r="L7" s="12"/>
      <c r="M7" s="12"/>
      <c r="N7" s="12"/>
      <c r="O7" s="14"/>
    </row>
    <row r="8" spans="2:15" x14ac:dyDescent="0.25">
      <c r="B8" s="1" t="s">
        <v>72</v>
      </c>
      <c r="C8" s="2" t="s">
        <v>73</v>
      </c>
      <c r="D8" s="13" t="s">
        <v>92</v>
      </c>
      <c r="E8" s="2">
        <v>2</v>
      </c>
      <c r="F8" s="2">
        <v>800</v>
      </c>
      <c r="J8" t="str" cm="1">
        <f t="array" ref="J8:N9">_xlfn._xlws.FILTER($B$3:$F$15,($D$3:$D$15=$I$4)*($F$3:$F$15&gt;$I$5),"no data")</f>
        <v>B001</v>
      </c>
      <c r="K8" t="str">
        <v>Inception</v>
      </c>
      <c r="L8" t="str">
        <v>West</v>
      </c>
      <c r="M8">
        <v>3</v>
      </c>
      <c r="N8">
        <v>1200</v>
      </c>
    </row>
    <row r="9" spans="2:15" x14ac:dyDescent="0.25">
      <c r="B9" s="1" t="s">
        <v>74</v>
      </c>
      <c r="C9" s="2" t="s">
        <v>75</v>
      </c>
      <c r="D9" s="13" t="s">
        <v>90</v>
      </c>
      <c r="E9" s="2">
        <v>6</v>
      </c>
      <c r="F9" s="2">
        <v>3600</v>
      </c>
      <c r="J9" t="str">
        <v>B007</v>
      </c>
      <c r="K9" t="str">
        <v>Joker</v>
      </c>
      <c r="L9" t="str">
        <v>West</v>
      </c>
      <c r="M9">
        <v>3</v>
      </c>
      <c r="N9">
        <v>1350</v>
      </c>
    </row>
    <row r="10" spans="2:15" x14ac:dyDescent="0.25">
      <c r="B10" s="1" t="s">
        <v>76</v>
      </c>
      <c r="C10" s="2" t="s">
        <v>77</v>
      </c>
      <c r="D10" s="13" t="s">
        <v>88</v>
      </c>
      <c r="E10" s="2">
        <v>3</v>
      </c>
      <c r="F10" s="2">
        <v>1350</v>
      </c>
    </row>
    <row r="11" spans="2:15" x14ac:dyDescent="0.25">
      <c r="B11" s="1" t="s">
        <v>78</v>
      </c>
      <c r="C11" s="2" t="s">
        <v>79</v>
      </c>
      <c r="D11" s="13" t="s">
        <v>89</v>
      </c>
      <c r="E11" s="2">
        <v>2</v>
      </c>
      <c r="F11" s="2">
        <v>700</v>
      </c>
    </row>
    <row r="12" spans="2:15" x14ac:dyDescent="0.25">
      <c r="B12" s="1" t="s">
        <v>80</v>
      </c>
      <c r="C12" s="2" t="s">
        <v>81</v>
      </c>
      <c r="D12" s="13" t="s">
        <v>91</v>
      </c>
      <c r="E12" s="2">
        <v>5</v>
      </c>
      <c r="F12" s="2">
        <v>2750</v>
      </c>
    </row>
    <row r="13" spans="2:15" x14ac:dyDescent="0.25">
      <c r="B13" s="1" t="s">
        <v>82</v>
      </c>
      <c r="C13" s="2" t="s">
        <v>83</v>
      </c>
      <c r="D13" s="13" t="s">
        <v>92</v>
      </c>
      <c r="E13" s="2">
        <v>4</v>
      </c>
      <c r="F13" s="2">
        <v>1600</v>
      </c>
    </row>
    <row r="14" spans="2:15" x14ac:dyDescent="0.25">
      <c r="B14" s="1" t="s">
        <v>84</v>
      </c>
      <c r="C14" s="2" t="s">
        <v>85</v>
      </c>
      <c r="D14" s="13" t="s">
        <v>90</v>
      </c>
      <c r="E14" s="2">
        <v>3</v>
      </c>
      <c r="F14" s="2">
        <v>1500</v>
      </c>
    </row>
    <row r="15" spans="2:15" x14ac:dyDescent="0.25">
      <c r="B15" s="1" t="s">
        <v>86</v>
      </c>
      <c r="C15" s="2" t="s">
        <v>87</v>
      </c>
      <c r="D15" s="13" t="s">
        <v>88</v>
      </c>
      <c r="E15" s="2">
        <v>2</v>
      </c>
      <c r="F15" s="2">
        <v>1000</v>
      </c>
    </row>
    <row r="18" spans="2:6" x14ac:dyDescent="0.25">
      <c r="B18" s="8"/>
      <c r="C18" s="8"/>
      <c r="D18" s="8"/>
      <c r="E18" s="8"/>
      <c r="F18" s="8"/>
    </row>
    <row r="19" spans="2:6" x14ac:dyDescent="0.25">
      <c r="B19" s="8"/>
      <c r="C19" s="9"/>
      <c r="E19" s="9"/>
      <c r="F19" s="9"/>
    </row>
    <row r="20" spans="2:6" x14ac:dyDescent="0.25">
      <c r="B20" s="8"/>
      <c r="C20" s="9"/>
      <c r="E20" s="9"/>
      <c r="F20" s="9"/>
    </row>
    <row r="21" spans="2:6" x14ac:dyDescent="0.25">
      <c r="B21" s="8"/>
      <c r="C21" s="9"/>
      <c r="E21" s="9"/>
      <c r="F21" s="9"/>
    </row>
    <row r="22" spans="2:6" x14ac:dyDescent="0.25">
      <c r="B22" s="8"/>
      <c r="C22" s="9"/>
      <c r="E22" s="9"/>
      <c r="F22" s="9"/>
    </row>
    <row r="23" spans="2:6" x14ac:dyDescent="0.25">
      <c r="B23" s="8"/>
      <c r="C23" s="9"/>
      <c r="E23" s="9"/>
      <c r="F23" s="9"/>
    </row>
    <row r="24" spans="2:6" x14ac:dyDescent="0.25">
      <c r="B24" s="8"/>
      <c r="C24" s="9"/>
      <c r="E24" s="9"/>
      <c r="F24" s="9"/>
    </row>
    <row r="25" spans="2:6" x14ac:dyDescent="0.25">
      <c r="B25" s="8"/>
      <c r="C25" s="9"/>
      <c r="E25" s="9"/>
      <c r="F25" s="9"/>
    </row>
    <row r="26" spans="2:6" x14ac:dyDescent="0.25">
      <c r="B26" s="8"/>
      <c r="C26" s="9"/>
      <c r="E26" s="9"/>
      <c r="F26" s="9"/>
    </row>
    <row r="27" spans="2:6" x14ac:dyDescent="0.25">
      <c r="B27" s="8"/>
      <c r="C27" s="9"/>
      <c r="E27" s="9"/>
      <c r="F27" s="9"/>
    </row>
    <row r="28" spans="2:6" x14ac:dyDescent="0.25">
      <c r="B28" s="8"/>
      <c r="C28" s="9"/>
      <c r="E28" s="9"/>
      <c r="F28" s="9"/>
    </row>
    <row r="29" spans="2:6" x14ac:dyDescent="0.25">
      <c r="B29" s="8"/>
      <c r="C29" s="9"/>
      <c r="E29" s="9"/>
      <c r="F29" s="9"/>
    </row>
    <row r="30" spans="2:6" x14ac:dyDescent="0.25">
      <c r="B30" s="8"/>
      <c r="C30" s="9"/>
      <c r="E30" s="9"/>
      <c r="F30" s="9"/>
    </row>
  </sheetData>
  <customSheetViews>
    <customSheetView guid="{7B36C87F-B6F0-4A11-8418-01DE29D77A2E}" topLeftCell="A3">
      <selection activeCell="N13" sqref="N13"/>
      <pageMargins left="0.7" right="0.7" top="0.75" bottom="0.75" header="0.3" footer="0.3"/>
    </customSheetView>
    <customSheetView guid="{7273ACCE-D284-495E-8AFF-21DACD2C1FA8}" topLeftCell="A3">
      <selection activeCell="N13" sqref="N13"/>
      <pageMargins left="0.7" right="0.7" top="0.75" bottom="0.75" header="0.3" footer="0.3"/>
    </customSheetView>
  </customSheetViews>
  <mergeCells count="1">
    <mergeCell ref="J7:N7"/>
  </mergeCells>
  <dataValidations count="1">
    <dataValidation type="list" allowBlank="1" showInputMessage="1" showErrorMessage="1" sqref="I4" xr:uid="{BAE5452D-30DB-4028-AEC1-371FD363E6E4}">
      <formula1>$K$4:$O$4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E1CC-C3C5-4156-8A5B-F5E6E4AC6A78}">
  <dimension ref="B3:P13"/>
  <sheetViews>
    <sheetView tabSelected="1" workbookViewId="0">
      <selection activeCell="K12" sqref="K12"/>
    </sheetView>
  </sheetViews>
  <sheetFormatPr defaultRowHeight="15" x14ac:dyDescent="0.25"/>
  <cols>
    <col min="2" max="2" width="12" bestFit="1" customWidth="1"/>
    <col min="3" max="3" width="16" bestFit="1" customWidth="1"/>
    <col min="4" max="4" width="9.7109375" bestFit="1" customWidth="1"/>
    <col min="5" max="5" width="16.5703125" bestFit="1" customWidth="1"/>
    <col min="6" max="6" width="9.7109375" bestFit="1" customWidth="1"/>
  </cols>
  <sheetData>
    <row r="3" spans="2:16" ht="15.75" thickBot="1" x14ac:dyDescent="0.3">
      <c r="B3" s="1" t="s">
        <v>94</v>
      </c>
      <c r="C3" s="1" t="s">
        <v>95</v>
      </c>
      <c r="D3" s="1" t="s">
        <v>96</v>
      </c>
      <c r="E3" s="1" t="s">
        <v>97</v>
      </c>
      <c r="F3" s="1" t="s">
        <v>98</v>
      </c>
    </row>
    <row r="4" spans="2:16" x14ac:dyDescent="0.25">
      <c r="B4" s="1" t="s">
        <v>99</v>
      </c>
      <c r="C4" s="2" t="s">
        <v>100</v>
      </c>
      <c r="D4" s="15">
        <v>1200000</v>
      </c>
      <c r="E4" s="16">
        <v>4.8000000000000001E-2</v>
      </c>
      <c r="F4" s="2" t="s">
        <v>101</v>
      </c>
      <c r="I4" s="17" t="s">
        <v>122</v>
      </c>
      <c r="J4" s="18"/>
      <c r="K4" s="18"/>
      <c r="L4" s="18"/>
      <c r="M4" s="18"/>
      <c r="N4" s="18"/>
      <c r="O4" s="18"/>
      <c r="P4" s="19"/>
    </row>
    <row r="5" spans="2:16" x14ac:dyDescent="0.25">
      <c r="B5" s="1" t="s">
        <v>102</v>
      </c>
      <c r="C5" s="2" t="s">
        <v>103</v>
      </c>
      <c r="D5" s="15">
        <v>850000</v>
      </c>
      <c r="E5" s="16">
        <v>3.5000000000000003E-2</v>
      </c>
      <c r="F5" s="2" t="s">
        <v>120</v>
      </c>
      <c r="I5" s="20"/>
      <c r="J5" s="21"/>
      <c r="K5" s="21"/>
      <c r="L5" s="21"/>
      <c r="M5" s="21"/>
      <c r="N5" s="21"/>
      <c r="O5" s="21"/>
      <c r="P5" s="22"/>
    </row>
    <row r="6" spans="2:16" x14ac:dyDescent="0.25">
      <c r="B6" s="1" t="s">
        <v>104</v>
      </c>
      <c r="C6" s="2" t="s">
        <v>105</v>
      </c>
      <c r="D6" s="15">
        <v>2500000</v>
      </c>
      <c r="E6" s="16">
        <v>5.1999999999999998E-2</v>
      </c>
      <c r="F6" s="2" t="s">
        <v>121</v>
      </c>
      <c r="I6" s="20"/>
      <c r="J6" s="21"/>
      <c r="K6" s="21"/>
      <c r="L6" s="21"/>
      <c r="M6" s="21"/>
      <c r="N6" s="21"/>
      <c r="O6" s="21"/>
      <c r="P6" s="22"/>
    </row>
    <row r="7" spans="2:16" ht="15.75" thickBot="1" x14ac:dyDescent="0.3">
      <c r="B7" s="1" t="s">
        <v>106</v>
      </c>
      <c r="C7" s="2" t="s">
        <v>107</v>
      </c>
      <c r="D7" s="15">
        <v>600000</v>
      </c>
      <c r="E7" s="16">
        <v>2.9000000000000001E-2</v>
      </c>
      <c r="F7" s="2" t="s">
        <v>101</v>
      </c>
      <c r="I7" s="23"/>
      <c r="J7" s="24"/>
      <c r="K7" s="24"/>
      <c r="L7" s="24"/>
      <c r="M7" s="24"/>
      <c r="N7" s="24"/>
      <c r="O7" s="24"/>
      <c r="P7" s="25"/>
    </row>
    <row r="8" spans="2:16" x14ac:dyDescent="0.25">
      <c r="B8" s="1" t="s">
        <v>108</v>
      </c>
      <c r="C8" s="2" t="s">
        <v>109</v>
      </c>
      <c r="D8" s="15">
        <v>1800000</v>
      </c>
      <c r="E8" s="16">
        <v>4.1000000000000002E-2</v>
      </c>
      <c r="F8" s="2" t="s">
        <v>120</v>
      </c>
    </row>
    <row r="9" spans="2:16" x14ac:dyDescent="0.25">
      <c r="B9" s="1" t="s">
        <v>110</v>
      </c>
      <c r="C9" s="2" t="s">
        <v>111</v>
      </c>
      <c r="D9" s="15">
        <v>950000</v>
      </c>
      <c r="E9" s="16">
        <v>3.7999999999999999E-2</v>
      </c>
      <c r="F9" s="2" t="s">
        <v>121</v>
      </c>
    </row>
    <row r="10" spans="2:16" x14ac:dyDescent="0.25">
      <c r="B10" s="1" t="s">
        <v>112</v>
      </c>
      <c r="C10" s="2" t="s">
        <v>113</v>
      </c>
      <c r="D10" s="15">
        <v>3200000</v>
      </c>
      <c r="E10" s="16">
        <v>0.06</v>
      </c>
      <c r="F10" s="2" t="s">
        <v>101</v>
      </c>
    </row>
    <row r="11" spans="2:16" x14ac:dyDescent="0.25">
      <c r="B11" s="1" t="s">
        <v>114</v>
      </c>
      <c r="C11" s="2" t="s">
        <v>115</v>
      </c>
      <c r="D11" s="15">
        <v>700000</v>
      </c>
      <c r="E11" s="16">
        <v>3.2000000000000001E-2</v>
      </c>
      <c r="F11" s="2" t="s">
        <v>120</v>
      </c>
    </row>
    <row r="12" spans="2:16" x14ac:dyDescent="0.25">
      <c r="B12" s="1" t="s">
        <v>116</v>
      </c>
      <c r="C12" s="2" t="s">
        <v>117</v>
      </c>
      <c r="D12" s="15">
        <v>2100000</v>
      </c>
      <c r="E12" s="16">
        <v>4.4999999999999998E-2</v>
      </c>
      <c r="F12" s="2" t="s">
        <v>121</v>
      </c>
    </row>
    <row r="13" spans="2:16" x14ac:dyDescent="0.25">
      <c r="B13" s="1" t="s">
        <v>118</v>
      </c>
      <c r="C13" s="2" t="s">
        <v>119</v>
      </c>
      <c r="D13" s="15">
        <v>1400000</v>
      </c>
      <c r="E13" s="16">
        <v>5.5E-2</v>
      </c>
      <c r="F13" s="2" t="s">
        <v>101</v>
      </c>
    </row>
  </sheetData>
  <customSheetViews>
    <customSheetView guid="{7B36C87F-B6F0-4A11-8418-01DE29D77A2E}" filter="1" showAutoFilter="1">
      <selection activeCell="E3" sqref="E3"/>
      <pageMargins left="0.7" right="0.7" top="0.75" bottom="0.75" header="0.3" footer="0.3"/>
      <autoFilter ref="B3:F13" xr:uid="{2D1BE1CC-C3C5-4156-8A5B-F5E6E4AC6A78}">
        <filterColumn colId="4">
          <customFilters>
            <customFilter val="*YouTube*"/>
          </customFilters>
        </filterColumn>
      </autoFilter>
    </customSheetView>
    <customSheetView guid="{7273ACCE-D284-495E-8AFF-21DACD2C1FA8}" filter="1" showAutoFilter="1">
      <selection activeCell="E3" sqref="E3"/>
      <pageMargins left="0.7" right="0.7" top="0.75" bottom="0.75" header="0.3" footer="0.3"/>
      <autoFilter ref="B3:F13" xr:uid="{2D1BE1CC-C3C5-4156-8A5B-F5E6E4AC6A78}">
        <filterColumn colId="3">
          <customFilters>
            <customFilter operator="greaterThan" val="0.05"/>
          </customFilters>
        </filterColumn>
      </autoFilter>
    </customSheetView>
  </customSheetViews>
  <mergeCells count="1">
    <mergeCell ref="I4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1</vt:lpstr>
      <vt:lpstr>2</vt:lpstr>
      <vt:lpstr>3</vt:lpstr>
      <vt:lpstr>4</vt:lpstr>
      <vt:lpstr>'1'!Criteria</vt:lpstr>
      <vt:lpstr>'1'!Extract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2026-07-03T13:48:26Z</dcterms:modified>
</cp:coreProperties>
</file>