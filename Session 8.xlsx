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BE05C42B-4AC1-40BE-8C75-FA4FE1F33B5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2" i="5"/>
  <c r="E3" i="4"/>
  <c r="E4" i="4"/>
  <c r="E5" i="4"/>
  <c r="E6" i="4"/>
  <c r="E7" i="4"/>
  <c r="E8" i="4"/>
  <c r="E9" i="4"/>
  <c r="E10" i="4"/>
  <c r="E11" i="4"/>
  <c r="E2" i="4"/>
  <c r="G11" i="3"/>
  <c r="G10" i="3"/>
  <c r="G9" i="3"/>
  <c r="G8" i="3"/>
  <c r="G7" i="3"/>
  <c r="G6" i="3"/>
  <c r="G5" i="3"/>
  <c r="G4" i="3"/>
  <c r="G3" i="3"/>
  <c r="G2" i="3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2" i="2" a="1"/>
  <c r="C2" i="2" s="1"/>
  <c r="B3" i="1"/>
  <c r="B4" i="1"/>
  <c r="B5" i="1"/>
  <c r="B6" i="1"/>
  <c r="B7" i="1"/>
  <c r="B8" i="1"/>
  <c r="B9" i="1"/>
  <c r="B10" i="1"/>
  <c r="B11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<sst xmlns="http://schemas.openxmlformats.org/spreadsheetml/2006/main" count="180" uniqueCount="122">
  <si>
    <t>Order Value</t>
  </si>
  <si>
    <t>Labels</t>
  </si>
  <si>
    <t>Virat Kohli</t>
  </si>
  <si>
    <t>Rohit Sharma</t>
  </si>
  <si>
    <t>MS Dhoni</t>
  </si>
  <si>
    <t>Sachin Tendulkar</t>
  </si>
  <si>
    <t>Jasprit Bumrah</t>
  </si>
  <si>
    <t>Hardik Pandya</t>
  </si>
  <si>
    <t>KL Rahul</t>
  </si>
  <si>
    <t>Shubman Gill</t>
  </si>
  <si>
    <t>Rishabh Pant</t>
  </si>
  <si>
    <t>Yuvraj Singh</t>
  </si>
  <si>
    <t>Cricketers Name</t>
  </si>
  <si>
    <t>Runs</t>
  </si>
  <si>
    <t>Rating</t>
  </si>
  <si>
    <t>Order Number</t>
  </si>
  <si>
    <t>Order ID</t>
  </si>
  <si>
    <t>Product Name</t>
  </si>
  <si>
    <t>Payment Method</t>
  </si>
  <si>
    <t>Region</t>
  </si>
  <si>
    <t>Delivered</t>
  </si>
  <si>
    <t>FLP-2026-01</t>
  </si>
  <si>
    <t>Samsung Galaxy M14</t>
  </si>
  <si>
    <t>Delhi NCR</t>
  </si>
  <si>
    <t>Yes</t>
  </si>
  <si>
    <t>FLP-2026-02</t>
  </si>
  <si>
    <t>Nike Running Shoes</t>
  </si>
  <si>
    <t>Mumbai</t>
  </si>
  <si>
    <t>No</t>
  </si>
  <si>
    <t>FLP-2026-03</t>
  </si>
  <si>
    <t>LG Smart TV 43"</t>
  </si>
  <si>
    <t>Bangalore</t>
  </si>
  <si>
    <t>FLP-2026-04</t>
  </si>
  <si>
    <t>Philips Mixer Grinder</t>
  </si>
  <si>
    <t>Ahmedabad</t>
  </si>
  <si>
    <t>FLP-2026-05</t>
  </si>
  <si>
    <t>Levi’s Jeans</t>
  </si>
  <si>
    <t>Kolkata</t>
  </si>
  <si>
    <t>FLP-2026-06</t>
  </si>
  <si>
    <t>Apple AirPods Pro</t>
  </si>
  <si>
    <t>Hyderabad</t>
  </si>
  <si>
    <t>FLP-2026-07</t>
  </si>
  <si>
    <t>Prestige Pressure Cooker</t>
  </si>
  <si>
    <t>Pune</t>
  </si>
  <si>
    <t>FLP-2026-08</t>
  </si>
  <si>
    <t>HP Laptop 15s</t>
  </si>
  <si>
    <t>Chennai</t>
  </si>
  <si>
    <t>FLP-2026-09</t>
  </si>
  <si>
    <t>Fastrack Watch</t>
  </si>
  <si>
    <t>Jaipur</t>
  </si>
  <si>
    <t>FLP-2026-10</t>
  </si>
  <si>
    <t>Adidas T-Shirt</t>
  </si>
  <si>
    <t>Lucknow</t>
  </si>
  <si>
    <t>Pre-Paid</t>
  </si>
  <si>
    <t>Post-Paid</t>
  </si>
  <si>
    <t>Use of IF + AND FUNCTION</t>
  </si>
  <si>
    <t>Song Name</t>
  </si>
  <si>
    <t>Artist</t>
  </si>
  <si>
    <t>Downloaded</t>
  </si>
  <si>
    <t>Favorite</t>
  </si>
  <si>
    <t>Blinding Lights</t>
  </si>
  <si>
    <t>The Weeknd</t>
  </si>
  <si>
    <t>Shape of You</t>
  </si>
  <si>
    <t>Ed Sheeran</t>
  </si>
  <si>
    <t>Levitating</t>
  </si>
  <si>
    <t>Dua Lipa</t>
  </si>
  <si>
    <t>Bad Guy</t>
  </si>
  <si>
    <t>Billie Eilish</t>
  </si>
  <si>
    <t>Uptown Funk</t>
  </si>
  <si>
    <t>Mark Ronson ft. Bruno Mars</t>
  </si>
  <si>
    <t>Rolling in the Deep</t>
  </si>
  <si>
    <t>Adele</t>
  </si>
  <si>
    <t>Peaches</t>
  </si>
  <si>
    <t>Justin Bieber</t>
  </si>
  <si>
    <t>Watermelon Sugar</t>
  </si>
  <si>
    <t>Harry Styles</t>
  </si>
  <si>
    <t>Believer</t>
  </si>
  <si>
    <t>Imagine Dragons</t>
  </si>
  <si>
    <t>Stay</t>
  </si>
  <si>
    <t>The Kid LAROI &amp; Justin Bieber</t>
  </si>
  <si>
    <t>Use of IF+OR Function</t>
  </si>
  <si>
    <t>Customer Name</t>
  </si>
  <si>
    <t>Payment Mode</t>
  </si>
  <si>
    <t>Delivery Address (Surat)</t>
  </si>
  <si>
    <t>ZMT-2001</t>
  </si>
  <si>
    <t>Paneer Butter Masala</t>
  </si>
  <si>
    <t>Rahul Mehta</t>
  </si>
  <si>
    <t>Online</t>
  </si>
  <si>
    <t>Building 12, Adajan, Surat</t>
  </si>
  <si>
    <t>ZMT-2002</t>
  </si>
  <si>
    <t>Chicken Biryani</t>
  </si>
  <si>
    <t>Priya Shah</t>
  </si>
  <si>
    <t>Cash</t>
  </si>
  <si>
    <t>Building 45, Vesu, Surat</t>
  </si>
  <si>
    <t>ZMT-2003</t>
  </si>
  <si>
    <t>Veg Pizza</t>
  </si>
  <si>
    <t>Ankit Patel</t>
  </si>
  <si>
    <t>Building 8, Nanpura, Surat</t>
  </si>
  <si>
    <t>ZMT-2004</t>
  </si>
  <si>
    <t>Masala Dosa</t>
  </si>
  <si>
    <t>Sneha Verma</t>
  </si>
  <si>
    <t>Building 21, Katargam, Surat</t>
  </si>
  <si>
    <t>ZMT-2005</t>
  </si>
  <si>
    <t>Cheeseburger</t>
  </si>
  <si>
    <t>Arjun Singh</t>
  </si>
  <si>
    <t>Building 33, Palanpur Jakatnaka, Surat</t>
  </si>
  <si>
    <t>ZMT-2006</t>
  </si>
  <si>
    <t>Pasta Alfredo</t>
  </si>
  <si>
    <t>Neha Joshi</t>
  </si>
  <si>
    <t>Building 17, Rander Road, Surat</t>
  </si>
  <si>
    <t>ZMT-2007</t>
  </si>
  <si>
    <t>Dal Tadka</t>
  </si>
  <si>
    <t>Karan Desai</t>
  </si>
  <si>
    <t>Building 29, Athwa Gate, Surat</t>
  </si>
  <si>
    <t>ZMT-2008</t>
  </si>
  <si>
    <t>Sushi Roll</t>
  </si>
  <si>
    <t>Riya Kapoor</t>
  </si>
  <si>
    <t>Building 56, Piplod, Surat</t>
  </si>
  <si>
    <t>ZMT-2009</t>
  </si>
  <si>
    <t>ZMT-2010</t>
  </si>
  <si>
    <t>cash</t>
  </si>
  <si>
    <t>OLD Delivery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</si>
</sst>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9" sqref="B9"/>
    </sheetView>
  </sheetViews>
  <sheetFormatPr defaultRowHeight="15" x14ac:dyDescent="0.25"/>
  <cols>
    <col min="1" max="1" width="11.7109375" bestFit="1" customWidth="1"/>
    <col min="2" max="2" width="10.5703125" bestFit="1" customWidth="1"/>
  </cols>
  <sheetData>
    <row r="1" spans="1:6" x14ac:dyDescent="0.25">
      <c r="A1" s="2" t="s">
        <v>0</v>
      </c>
      <c r="B1" s="2" t="s">
        <v>1</v>
      </c>
    </row>
    <row r="2" spans="1:6" x14ac:dyDescent="0.25">
      <c r="A2" s="4">
        <v>250</v>
      </c>
      <c r="B2" s="1" t="str">
        <f>IF(A2&gt;500,"High Value","Regular")</f>
        <v>Regular</v>
      </c>
    </row>
    <row r="3" spans="1:6" x14ac:dyDescent="0.25">
      <c r="A3" s="4">
        <v>550</v>
      </c>
      <c r="B3" s="1" t="str">
        <f t="shared" ref="B3:B11" si="0">IF(A3&gt;500,"High Value","Regular")</f>
        <v>High Value</v>
      </c>
    </row>
    <row r="4" spans="1:6" x14ac:dyDescent="0.25">
      <c r="A4" s="4">
        <v>600</v>
      </c>
      <c r="B4" s="1" t="str">
        <f t="shared" si="0"/>
        <v>High Value</v>
      </c>
    </row>
    <row r="5" spans="1:6" x14ac:dyDescent="0.25">
      <c r="A5" s="4">
        <v>400</v>
      </c>
      <c r="B5" s="1" t="str">
        <f t="shared" si="0"/>
        <v>Regular</v>
      </c>
    </row>
    <row r="6" spans="1:6" x14ac:dyDescent="0.25">
      <c r="A6" s="4">
        <v>780</v>
      </c>
      <c r="B6" s="1" t="str">
        <f t="shared" si="0"/>
        <v>High Value</v>
      </c>
      <c r="F6" s="3"/>
    </row>
    <row r="7" spans="1:6" x14ac:dyDescent="0.25">
      <c r="A7" s="4">
        <v>380</v>
      </c>
      <c r="B7" s="1" t="str">
        <f t="shared" si="0"/>
        <v>Regular</v>
      </c>
    </row>
    <row r="8" spans="1:6" x14ac:dyDescent="0.25">
      <c r="A8" s="4">
        <v>960</v>
      </c>
      <c r="B8" s="1" t="str">
        <f t="shared" si="0"/>
        <v>High Value</v>
      </c>
    </row>
    <row r="9" spans="1:6" x14ac:dyDescent="0.25">
      <c r="A9" s="4">
        <v>110</v>
      </c>
      <c r="B9" s="1" t="str">
        <f t="shared" si="0"/>
        <v>Regular</v>
      </c>
    </row>
    <row r="10" spans="1:6" x14ac:dyDescent="0.25">
      <c r="A10" s="4">
        <v>845</v>
      </c>
      <c r="B10" s="1" t="str">
        <f t="shared" si="0"/>
        <v>High Value</v>
      </c>
    </row>
    <row r="11" spans="1:6" x14ac:dyDescent="0.25">
      <c r="A11" s="4">
        <v>1050</v>
      </c>
      <c r="B11" s="1" t="str">
        <f t="shared" si="0"/>
        <v>High Value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8E4F-8708-4355-AB28-2946402448F0}">
  <dimension ref="A1:C11"/>
  <sheetViews>
    <sheetView workbookViewId="0">
      <selection activeCell="C7" sqref="C7"/>
    </sheetView>
  </sheetViews>
  <sheetFormatPr defaultRowHeight="15" x14ac:dyDescent="0.25"/>
  <cols>
    <col min="1" max="1" width="16.140625" bestFit="1" customWidth="1"/>
    <col min="2" max="2" width="5.28515625" bestFit="1" customWidth="1"/>
    <col min="3" max="3" width="8" bestFit="1" customWidth="1"/>
  </cols>
  <sheetData>
    <row r="1" spans="1:3" x14ac:dyDescent="0.25">
      <c r="A1" s="2" t="s">
        <v>12</v>
      </c>
      <c r="B1" s="2" t="s">
        <v>13</v>
      </c>
      <c r="C1" s="2" t="s">
        <v>14</v>
      </c>
    </row>
    <row r="2" spans="1:3" x14ac:dyDescent="0.25">
      <c r="A2" s="1" t="s">
        <v>2</v>
      </c>
      <c r="B2" s="5">
        <v>1258</v>
      </c>
      <c r="C2" s="1" t="str" cm="1">
        <f t="array" ref="C2">_xlfn.IFS(B2&gt;1000,"Star",B2&gt;=700,"Pro",B2&gt;=400,"Rising",B2&lt;400,"Newbie")</f>
        <v>Star</v>
      </c>
    </row>
    <row r="3" spans="1:3" x14ac:dyDescent="0.25">
      <c r="A3" s="1" t="s">
        <v>3</v>
      </c>
      <c r="B3" s="5">
        <v>340</v>
      </c>
      <c r="C3" s="1" t="str" cm="1">
        <f t="array" ref="C3">_xlfn.IFS(B3&gt;1000,"Star",B3&gt;=700,"Pro",B3&gt;=400,"Rising",B3&lt;400,"Newbie")</f>
        <v>Newbie</v>
      </c>
    </row>
    <row r="4" spans="1:3" x14ac:dyDescent="0.25">
      <c r="A4" s="1" t="s">
        <v>4</v>
      </c>
      <c r="B4" s="5">
        <v>850</v>
      </c>
      <c r="C4" s="1" t="str" cm="1">
        <f t="array" ref="C4">_xlfn.IFS(B4&gt;1000,"Star",B4&gt;=700,"Pro",B4&gt;=400,"Rising",B4&lt;400,"Newbie")</f>
        <v>Pro</v>
      </c>
    </row>
    <row r="5" spans="1:3" x14ac:dyDescent="0.25">
      <c r="A5" s="1" t="s">
        <v>5</v>
      </c>
      <c r="B5" s="5">
        <v>2940</v>
      </c>
      <c r="C5" s="1" t="str" cm="1">
        <f t="array" ref="C5">_xlfn.IFS(B5&gt;1000,"Star",B5&gt;=700,"Pro",B5&gt;=400,"Rising",B5&lt;400,"Newbie")</f>
        <v>Star</v>
      </c>
    </row>
    <row r="6" spans="1:3" x14ac:dyDescent="0.25">
      <c r="A6" s="1" t="s">
        <v>11</v>
      </c>
      <c r="B6" s="5">
        <v>705</v>
      </c>
      <c r="C6" s="1" t="str" cm="1">
        <f t="array" ref="C6">_xlfn.IFS(B6&gt;1000,"Star",B6&gt;=700,"Pro",B6&gt;=400,"Rising",B6&lt;400,"Newbie")</f>
        <v>Pro</v>
      </c>
    </row>
    <row r="7" spans="1:3" x14ac:dyDescent="0.25">
      <c r="A7" s="1" t="s">
        <v>6</v>
      </c>
      <c r="B7" s="5">
        <v>430</v>
      </c>
      <c r="C7" s="1" t="str" cm="1">
        <f t="array" ref="C7">_xlfn.IFS(B7&gt;1000,"Star",B7&gt;=700,"Pro",B7&gt;=400,"Rising",B7&lt;400,"Newbie")</f>
        <v>Rising</v>
      </c>
    </row>
    <row r="8" spans="1:3" x14ac:dyDescent="0.25">
      <c r="A8" s="1" t="s">
        <v>10</v>
      </c>
      <c r="B8" s="5">
        <v>1374</v>
      </c>
      <c r="C8" s="1" t="str" cm="1">
        <f t="array" ref="C8">_xlfn.IFS(B8&gt;1000,"Star",B8&gt;=700,"Pro",B8&gt;=400,"Rising",B8&lt;400,"Newbie")</f>
        <v>Star</v>
      </c>
    </row>
    <row r="9" spans="1:3" x14ac:dyDescent="0.25">
      <c r="A9" s="1" t="s">
        <v>7</v>
      </c>
      <c r="B9" s="5">
        <v>583</v>
      </c>
      <c r="C9" s="1" t="str" cm="1">
        <f t="array" ref="C9">_xlfn.IFS(B9&gt;1000,"Star",B9&gt;=700,"Pro",B9&gt;=400,"Rising",B9&lt;400,"Newbie")</f>
        <v>Rising</v>
      </c>
    </row>
    <row r="10" spans="1:3" x14ac:dyDescent="0.25">
      <c r="A10" s="1" t="s">
        <v>9</v>
      </c>
      <c r="B10" s="5">
        <v>278</v>
      </c>
      <c r="C10" s="1" t="str" cm="1">
        <f t="array" ref="C10">_xlfn.IFS(B10&gt;1000,"Star",B10&gt;=700,"Pro",B10&gt;=400,"Rising",B10&lt;400,"Newbie")</f>
        <v>Newbie</v>
      </c>
    </row>
    <row r="11" spans="1:3" x14ac:dyDescent="0.25">
      <c r="A11" s="1" t="s">
        <v>8</v>
      </c>
      <c r="B11" s="5">
        <v>710</v>
      </c>
      <c r="C11" s="1" t="str" cm="1">
        <f t="array" ref="C11">_xlfn.IFS(B11&gt;1000,"Star",B11&gt;=700,"Pro",B11&gt;=400,"Rising",B11&lt;400,"Newbie")</f>
        <v>Pro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C272-3E85-4195-BE59-C29CBED92626}">
  <dimension ref="A1:G11"/>
  <sheetViews>
    <sheetView workbookViewId="0">
      <selection activeCell="G3" sqref="G3"/>
    </sheetView>
  </sheetViews>
  <sheetFormatPr defaultRowHeight="15" x14ac:dyDescent="0.25"/>
  <cols>
    <col min="1" max="1" width="14" bestFit="1" customWidth="1"/>
    <col min="2" max="2" width="11.42578125" customWidth="1"/>
    <col min="3" max="3" width="23.5703125" bestFit="1" customWidth="1"/>
    <col min="4" max="4" width="16.5703125" bestFit="1" customWidth="1"/>
    <col min="5" max="5" width="11.7109375" bestFit="1" customWidth="1"/>
    <col min="6" max="6" width="9.7109375" bestFit="1" customWidth="1"/>
    <col min="7" max="7" width="24.85546875" bestFit="1" customWidth="1"/>
  </cols>
  <sheetData>
    <row r="1" spans="1:7" ht="29.25" customHeight="1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55</v>
      </c>
    </row>
    <row r="2" spans="1:7" ht="29.25" customHeight="1" x14ac:dyDescent="0.25">
      <c r="A2" s="7">
        <v>1001</v>
      </c>
      <c r="B2" s="8" t="s">
        <v>21</v>
      </c>
      <c r="C2" s="8" t="s">
        <v>22</v>
      </c>
      <c r="D2" s="8" t="s">
        <v>53</v>
      </c>
      <c r="E2" s="8" t="s">
        <v>23</v>
      </c>
      <c r="F2" s="8" t="s">
        <v>24</v>
      </c>
      <c r="G2" s="9" t="str">
        <f>IF(AND(D2="Pre-Paid",F2="Yes"),"ELIGIBLE","---")</f>
        <v>ELIGIBLE</v>
      </c>
    </row>
    <row r="3" spans="1:7" ht="29.25" customHeight="1" x14ac:dyDescent="0.25">
      <c r="A3" s="7">
        <v>1002</v>
      </c>
      <c r="B3" s="8" t="s">
        <v>25</v>
      </c>
      <c r="C3" s="8" t="s">
        <v>26</v>
      </c>
      <c r="D3" s="8" t="s">
        <v>54</v>
      </c>
      <c r="E3" s="8" t="s">
        <v>27</v>
      </c>
      <c r="F3" s="8" t="s">
        <v>28</v>
      </c>
      <c r="G3" s="9" t="str">
        <f t="shared" ref="G3:G11" si="0">IF(AND(D3="Pre-Paid",F3="Yes"),"ELIGIBLE","---")</f>
        <v>---</v>
      </c>
    </row>
    <row r="4" spans="1:7" ht="29.25" customHeight="1" x14ac:dyDescent="0.25">
      <c r="A4" s="7">
        <v>1003</v>
      </c>
      <c r="B4" s="8" t="s">
        <v>29</v>
      </c>
      <c r="C4" s="8" t="s">
        <v>30</v>
      </c>
      <c r="D4" s="8" t="s">
        <v>53</v>
      </c>
      <c r="E4" s="8" t="s">
        <v>31</v>
      </c>
      <c r="F4" s="8" t="s">
        <v>24</v>
      </c>
      <c r="G4" s="9" t="str">
        <f t="shared" si="0"/>
        <v>ELIGIBLE</v>
      </c>
    </row>
    <row r="5" spans="1:7" ht="29.25" customHeight="1" x14ac:dyDescent="0.25">
      <c r="A5" s="7">
        <v>1004</v>
      </c>
      <c r="B5" s="8" t="s">
        <v>32</v>
      </c>
      <c r="C5" s="8" t="s">
        <v>33</v>
      </c>
      <c r="D5" s="8" t="s">
        <v>53</v>
      </c>
      <c r="E5" s="8" t="s">
        <v>34</v>
      </c>
      <c r="F5" s="8" t="s">
        <v>24</v>
      </c>
      <c r="G5" s="9" t="str">
        <f t="shared" si="0"/>
        <v>ELIGIBLE</v>
      </c>
    </row>
    <row r="6" spans="1:7" ht="29.25" customHeight="1" x14ac:dyDescent="0.25">
      <c r="A6" s="7">
        <v>1005</v>
      </c>
      <c r="B6" s="8" t="s">
        <v>35</v>
      </c>
      <c r="C6" s="8" t="s">
        <v>36</v>
      </c>
      <c r="D6" s="8" t="s">
        <v>54</v>
      </c>
      <c r="E6" s="8" t="s">
        <v>37</v>
      </c>
      <c r="F6" s="8" t="s">
        <v>28</v>
      </c>
      <c r="G6" s="9" t="str">
        <f t="shared" si="0"/>
        <v>---</v>
      </c>
    </row>
    <row r="7" spans="1:7" ht="29.25" customHeight="1" x14ac:dyDescent="0.25">
      <c r="A7" s="7">
        <v>1006</v>
      </c>
      <c r="B7" s="8" t="s">
        <v>38</v>
      </c>
      <c r="C7" s="8" t="s">
        <v>39</v>
      </c>
      <c r="D7" s="8" t="s">
        <v>53</v>
      </c>
      <c r="E7" s="8" t="s">
        <v>40</v>
      </c>
      <c r="F7" s="8" t="s">
        <v>24</v>
      </c>
      <c r="G7" s="9" t="str">
        <f t="shared" si="0"/>
        <v>ELIGIBLE</v>
      </c>
    </row>
    <row r="8" spans="1:7" ht="29.25" customHeight="1" x14ac:dyDescent="0.25">
      <c r="A8" s="7">
        <v>1007</v>
      </c>
      <c r="B8" s="8" t="s">
        <v>41</v>
      </c>
      <c r="C8" s="8" t="s">
        <v>42</v>
      </c>
      <c r="D8" s="8" t="s">
        <v>54</v>
      </c>
      <c r="E8" s="8" t="s">
        <v>43</v>
      </c>
      <c r="F8" s="8" t="s">
        <v>24</v>
      </c>
      <c r="G8" s="9" t="str">
        <f t="shared" si="0"/>
        <v>---</v>
      </c>
    </row>
    <row r="9" spans="1:7" ht="29.25" customHeight="1" x14ac:dyDescent="0.25">
      <c r="A9" s="7">
        <v>1008</v>
      </c>
      <c r="B9" s="8" t="s">
        <v>44</v>
      </c>
      <c r="C9" s="8" t="s">
        <v>45</v>
      </c>
      <c r="D9" s="8" t="s">
        <v>53</v>
      </c>
      <c r="E9" s="8" t="s">
        <v>46</v>
      </c>
      <c r="F9" s="8" t="s">
        <v>28</v>
      </c>
      <c r="G9" s="9" t="str">
        <f t="shared" si="0"/>
        <v>---</v>
      </c>
    </row>
    <row r="10" spans="1:7" ht="29.25" customHeight="1" x14ac:dyDescent="0.25">
      <c r="A10" s="7">
        <v>1009</v>
      </c>
      <c r="B10" s="8" t="s">
        <v>47</v>
      </c>
      <c r="C10" s="8" t="s">
        <v>48</v>
      </c>
      <c r="D10" s="8" t="s">
        <v>53</v>
      </c>
      <c r="E10" s="8" t="s">
        <v>49</v>
      </c>
      <c r="F10" s="8" t="s">
        <v>24</v>
      </c>
      <c r="G10" s="9" t="str">
        <f t="shared" si="0"/>
        <v>ELIGIBLE</v>
      </c>
    </row>
    <row r="11" spans="1:7" ht="29.25" customHeight="1" x14ac:dyDescent="0.25">
      <c r="A11" s="7">
        <v>1010</v>
      </c>
      <c r="B11" s="8" t="s">
        <v>50</v>
      </c>
      <c r="C11" s="8" t="s">
        <v>51</v>
      </c>
      <c r="D11" s="8" t="s">
        <v>54</v>
      </c>
      <c r="E11" s="8" t="s">
        <v>52</v>
      </c>
      <c r="F11" s="8" t="s">
        <v>24</v>
      </c>
      <c r="G11" s="9" t="str">
        <f t="shared" si="0"/>
        <v>---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1973-BF93-48E4-AD94-A546229EF6AF}">
  <dimension ref="A1:E11"/>
  <sheetViews>
    <sheetView workbookViewId="0">
      <selection activeCell="E10" sqref="E10"/>
    </sheetView>
  </sheetViews>
  <sheetFormatPr defaultRowHeight="15" x14ac:dyDescent="0.25"/>
  <cols>
    <col min="1" max="1" width="18.140625" bestFit="1" customWidth="1"/>
    <col min="2" max="2" width="27.5703125" bestFit="1" customWidth="1"/>
    <col min="3" max="3" width="12.28515625" bestFit="1" customWidth="1"/>
    <col min="4" max="4" width="8.28515625" bestFit="1" customWidth="1"/>
    <col min="5" max="5" width="20.7109375" bestFit="1" customWidth="1"/>
  </cols>
  <sheetData>
    <row r="1" spans="1:5" x14ac:dyDescent="0.25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80</v>
      </c>
    </row>
    <row r="2" spans="1:5" x14ac:dyDescent="0.25">
      <c r="A2" s="11" t="s">
        <v>60</v>
      </c>
      <c r="B2" s="12" t="s">
        <v>61</v>
      </c>
      <c r="C2" s="12" t="s">
        <v>24</v>
      </c>
      <c r="D2" s="12" t="s">
        <v>24</v>
      </c>
      <c r="E2" s="1" t="str">
        <f>IF(OR(C2="yes",D2="yes"),"Quick Access","---")</f>
        <v>Quick Access</v>
      </c>
    </row>
    <row r="3" spans="1:5" x14ac:dyDescent="0.25">
      <c r="A3" s="11" t="s">
        <v>62</v>
      </c>
      <c r="B3" s="12" t="s">
        <v>63</v>
      </c>
      <c r="C3" s="12" t="s">
        <v>28</v>
      </c>
      <c r="D3" s="12" t="s">
        <v>28</v>
      </c>
      <c r="E3" s="1" t="str">
        <f t="shared" ref="E3:E11" si="0">IF(OR(C3="yes",D3="yes"),"Quick Access","---")</f>
        <v>---</v>
      </c>
    </row>
    <row r="4" spans="1:5" x14ac:dyDescent="0.25">
      <c r="A4" s="11" t="s">
        <v>64</v>
      </c>
      <c r="B4" s="12" t="s">
        <v>65</v>
      </c>
      <c r="C4" s="12" t="s">
        <v>24</v>
      </c>
      <c r="D4" s="12" t="s">
        <v>28</v>
      </c>
      <c r="E4" s="1" t="str">
        <f t="shared" si="0"/>
        <v>Quick Access</v>
      </c>
    </row>
    <row r="5" spans="1:5" x14ac:dyDescent="0.25">
      <c r="A5" s="11" t="s">
        <v>66</v>
      </c>
      <c r="B5" s="12" t="s">
        <v>67</v>
      </c>
      <c r="C5" s="12" t="s">
        <v>28</v>
      </c>
      <c r="D5" s="12" t="s">
        <v>24</v>
      </c>
      <c r="E5" s="1" t="str">
        <f t="shared" si="0"/>
        <v>Quick Access</v>
      </c>
    </row>
    <row r="6" spans="1:5" x14ac:dyDescent="0.25">
      <c r="A6" s="11" t="s">
        <v>68</v>
      </c>
      <c r="B6" s="12" t="s">
        <v>69</v>
      </c>
      <c r="C6" s="12" t="s">
        <v>24</v>
      </c>
      <c r="D6" s="12" t="s">
        <v>28</v>
      </c>
      <c r="E6" s="1" t="str">
        <f t="shared" si="0"/>
        <v>Quick Access</v>
      </c>
    </row>
    <row r="7" spans="1:5" x14ac:dyDescent="0.25">
      <c r="A7" s="11" t="s">
        <v>70</v>
      </c>
      <c r="B7" s="12" t="s">
        <v>71</v>
      </c>
      <c r="C7" s="12" t="s">
        <v>24</v>
      </c>
      <c r="D7" s="12" t="s">
        <v>24</v>
      </c>
      <c r="E7" s="1" t="str">
        <f t="shared" si="0"/>
        <v>Quick Access</v>
      </c>
    </row>
    <row r="8" spans="1:5" x14ac:dyDescent="0.25">
      <c r="A8" s="11" t="s">
        <v>72</v>
      </c>
      <c r="B8" s="12" t="s">
        <v>73</v>
      </c>
      <c r="C8" s="12" t="s">
        <v>28</v>
      </c>
      <c r="D8" s="12" t="s">
        <v>28</v>
      </c>
      <c r="E8" s="1" t="str">
        <f t="shared" si="0"/>
        <v>---</v>
      </c>
    </row>
    <row r="9" spans="1:5" x14ac:dyDescent="0.25">
      <c r="A9" s="11" t="s">
        <v>74</v>
      </c>
      <c r="B9" s="12" t="s">
        <v>75</v>
      </c>
      <c r="C9" s="12" t="s">
        <v>24</v>
      </c>
      <c r="D9" s="12" t="s">
        <v>24</v>
      </c>
      <c r="E9" s="1" t="str">
        <f t="shared" si="0"/>
        <v>Quick Access</v>
      </c>
    </row>
    <row r="10" spans="1:5" x14ac:dyDescent="0.25">
      <c r="A10" s="11" t="s">
        <v>76</v>
      </c>
      <c r="B10" s="12" t="s">
        <v>77</v>
      </c>
      <c r="C10" s="12" t="s">
        <v>28</v>
      </c>
      <c r="D10" s="12" t="s">
        <v>24</v>
      </c>
      <c r="E10" s="1" t="str">
        <f t="shared" si="0"/>
        <v>Quick Access</v>
      </c>
    </row>
    <row r="11" spans="1:5" x14ac:dyDescent="0.25">
      <c r="A11" s="11" t="s">
        <v>78</v>
      </c>
      <c r="B11" s="12" t="s">
        <v>79</v>
      </c>
      <c r="C11" s="12" t="s">
        <v>24</v>
      </c>
      <c r="D11" s="12" t="s">
        <v>28</v>
      </c>
      <c r="E11" s="1" t="str">
        <f t="shared" si="0"/>
        <v>Quick Access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3BE8-FA19-424B-9E8A-52E4554AD666}">
  <dimension ref="A1:K16"/>
  <sheetViews>
    <sheetView tabSelected="1" workbookViewId="0">
      <selection activeCell="K12" sqref="K12"/>
    </sheetView>
  </sheetViews>
  <sheetFormatPr defaultRowHeight="15" x14ac:dyDescent="0.25"/>
  <cols>
    <col min="1" max="1" width="9.5703125" bestFit="1" customWidth="1"/>
    <col min="2" max="2" width="20.140625" bestFit="1" customWidth="1"/>
    <col min="3" max="3" width="15.42578125" bestFit="1" customWidth="1"/>
    <col min="4" max="4" width="14.7109375" bestFit="1" customWidth="1"/>
    <col min="5" max="5" width="35" bestFit="1" customWidth="1"/>
    <col min="6" max="6" width="11.42578125" bestFit="1" customWidth="1"/>
    <col min="11" max="11" width="35" bestFit="1" customWidth="1"/>
  </cols>
  <sheetData>
    <row r="1" spans="1:11" x14ac:dyDescent="0.25">
      <c r="A1" s="10" t="s">
        <v>16</v>
      </c>
      <c r="B1" s="10" t="s">
        <v>17</v>
      </c>
      <c r="C1" s="10" t="s">
        <v>81</v>
      </c>
      <c r="D1" s="10" t="s">
        <v>82</v>
      </c>
      <c r="E1" s="10" t="s">
        <v>83</v>
      </c>
      <c r="F1" s="10" t="s">
        <v>20</v>
      </c>
      <c r="K1" s="2" t="s">
        <v>121</v>
      </c>
    </row>
    <row r="2" spans="1:11" x14ac:dyDescent="0.25">
      <c r="A2" s="10" t="s">
        <v>84</v>
      </c>
      <c r="B2" s="12" t="s">
        <v>85</v>
      </c>
      <c r="C2" s="12" t="s">
        <v>86</v>
      </c>
      <c r="D2" s="12" t="s">
        <v>87</v>
      </c>
      <c r="E2" s="12" t="s">
        <v>88</v>
      </c>
      <c r="F2" s="1" t="str">
        <f>IF(_xlfn.XOR(D2="CASH",COUNTIF($K$2:$K$7,E2)),"SUSPICIOUS","NORMAL")</f>
        <v>SUSPICIOUS</v>
      </c>
      <c r="K2" s="12" t="s">
        <v>88</v>
      </c>
    </row>
    <row r="3" spans="1:11" x14ac:dyDescent="0.25">
      <c r="A3" s="10" t="s">
        <v>89</v>
      </c>
      <c r="B3" s="12" t="s">
        <v>90</v>
      </c>
      <c r="C3" s="12" t="s">
        <v>91</v>
      </c>
      <c r="D3" s="12" t="s">
        <v>92</v>
      </c>
      <c r="E3" s="12" t="s">
        <v>93</v>
      </c>
      <c r="F3" s="1" t="str">
        <f t="shared" ref="F3:F11" si="0">IF(_xlfn.XOR(D3="CASH",COUNTIF($K$2:$K$7,E3)),"SUSPICIOUS","NORMAL")</f>
        <v>NORMAL</v>
      </c>
      <c r="K3" s="12" t="s">
        <v>93</v>
      </c>
    </row>
    <row r="4" spans="1:11" x14ac:dyDescent="0.25">
      <c r="A4" s="10" t="s">
        <v>94</v>
      </c>
      <c r="B4" s="12" t="s">
        <v>95</v>
      </c>
      <c r="C4" s="12" t="s">
        <v>96</v>
      </c>
      <c r="D4" s="12" t="s">
        <v>92</v>
      </c>
      <c r="E4" s="12" t="s">
        <v>97</v>
      </c>
      <c r="F4" s="1" t="str">
        <f t="shared" si="0"/>
        <v>SUSPICIOUS</v>
      </c>
      <c r="K4" s="12" t="s">
        <v>101</v>
      </c>
    </row>
    <row r="5" spans="1:11" x14ac:dyDescent="0.25">
      <c r="A5" s="10" t="s">
        <v>98</v>
      </c>
      <c r="B5" s="12" t="s">
        <v>99</v>
      </c>
      <c r="C5" s="12" t="s">
        <v>100</v>
      </c>
      <c r="D5" s="12" t="s">
        <v>92</v>
      </c>
      <c r="E5" s="12" t="s">
        <v>101</v>
      </c>
      <c r="F5" s="1" t="str">
        <f t="shared" si="0"/>
        <v>NORMAL</v>
      </c>
      <c r="K5" s="12" t="s">
        <v>105</v>
      </c>
    </row>
    <row r="6" spans="1:11" x14ac:dyDescent="0.25">
      <c r="A6" s="10" t="s">
        <v>102</v>
      </c>
      <c r="B6" s="12" t="s">
        <v>103</v>
      </c>
      <c r="C6" s="12" t="s">
        <v>104</v>
      </c>
      <c r="D6" s="12" t="s">
        <v>87</v>
      </c>
      <c r="E6" s="12" t="s">
        <v>105</v>
      </c>
      <c r="F6" s="1" t="str">
        <f t="shared" si="0"/>
        <v>SUSPICIOUS</v>
      </c>
      <c r="K6" s="12" t="s">
        <v>109</v>
      </c>
    </row>
    <row r="7" spans="1:11" x14ac:dyDescent="0.25">
      <c r="A7" s="10" t="s">
        <v>106</v>
      </c>
      <c r="B7" s="12" t="s">
        <v>95</v>
      </c>
      <c r="C7" s="12" t="s">
        <v>96</v>
      </c>
      <c r="D7" s="12" t="s">
        <v>87</v>
      </c>
      <c r="E7" s="12" t="s">
        <v>97</v>
      </c>
      <c r="F7" s="1" t="str">
        <f t="shared" si="0"/>
        <v>NORMAL</v>
      </c>
      <c r="K7" s="12" t="s">
        <v>117</v>
      </c>
    </row>
    <row r="8" spans="1:11" x14ac:dyDescent="0.25">
      <c r="A8" s="10" t="s">
        <v>110</v>
      </c>
      <c r="B8" s="12" t="s">
        <v>115</v>
      </c>
      <c r="C8" s="12" t="s">
        <v>116</v>
      </c>
      <c r="D8" s="12" t="s">
        <v>92</v>
      </c>
      <c r="E8" s="12" t="s">
        <v>117</v>
      </c>
      <c r="F8" s="1" t="str">
        <f t="shared" si="0"/>
        <v>NORMAL</v>
      </c>
    </row>
    <row r="9" spans="1:11" x14ac:dyDescent="0.25">
      <c r="A9" s="10" t="s">
        <v>114</v>
      </c>
      <c r="B9" s="12" t="s">
        <v>107</v>
      </c>
      <c r="C9" s="12" t="s">
        <v>108</v>
      </c>
      <c r="D9" s="12" t="s">
        <v>87</v>
      </c>
      <c r="E9" s="12" t="s">
        <v>109</v>
      </c>
      <c r="F9" s="1" t="str">
        <f t="shared" si="0"/>
        <v>SUSPICIOUS</v>
      </c>
    </row>
    <row r="10" spans="1:11" x14ac:dyDescent="0.25">
      <c r="A10" s="10" t="s">
        <v>118</v>
      </c>
      <c r="B10" s="12" t="s">
        <v>111</v>
      </c>
      <c r="C10" s="12" t="s">
        <v>112</v>
      </c>
      <c r="D10" s="12" t="s">
        <v>120</v>
      </c>
      <c r="E10" s="12" t="s">
        <v>113</v>
      </c>
      <c r="F10" s="1" t="str">
        <f t="shared" si="0"/>
        <v>SUSPICIOUS</v>
      </c>
    </row>
    <row r="11" spans="1:11" x14ac:dyDescent="0.25">
      <c r="A11" s="10" t="s">
        <v>119</v>
      </c>
      <c r="B11" s="12" t="s">
        <v>115</v>
      </c>
      <c r="C11" s="12" t="s">
        <v>116</v>
      </c>
      <c r="D11" s="12" t="s">
        <v>92</v>
      </c>
      <c r="E11" s="12" t="s">
        <v>117</v>
      </c>
      <c r="F11" s="1" t="str">
        <f t="shared" si="0"/>
        <v>NORMAL</v>
      </c>
    </row>
    <row r="14" spans="1:11" ht="15" customHeight="1" x14ac:dyDescent="0.25">
      <c r="B14" s="13"/>
      <c r="C14" s="13"/>
      <c r="D14" s="13"/>
      <c r="E14" s="13"/>
    </row>
    <row r="15" spans="1:11" x14ac:dyDescent="0.25">
      <c r="B15" s="13"/>
      <c r="C15" s="13"/>
      <c r="D15" s="13"/>
      <c r="E15" s="13"/>
    </row>
    <row r="16" spans="1:11" x14ac:dyDescent="0.25">
      <c r="B16" s="13"/>
      <c r="C16" s="13"/>
      <c r="D16" s="13"/>
      <c r="E16" s="1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2026-07-20T12:11:37Z</dcterms:modified>
</cp:coreProperties>
</file>