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dmin\Desktop\TOP TECHS\data anaylitics\Excel\Assignment\"/>
    </mc:Choice>
  </mc:AlternateContent>
  <xr:revisionPtr revIDLastSave="0" documentId="13_ncr:1_{F843A9DD-DE37-4A71-A9BD-BD5FA0D0D590}" xr6:coauthVersionLast="47" xr6:coauthVersionMax="47" xr10:uidLastSave="{00000000-0000-0000-0000-000000000000}"/>
  <bookViews>
    <workbookView xWindow="-120" yWindow="-120" windowWidth="20730" windowHeight="11160" activeTab="6" xr2:uid="{00000000-000D-0000-FFFF-FFFF00000000}"/>
  </bookViews>
  <sheets>
    <sheet name="raw data" sheetId="1" r:id="rId1"/>
    <sheet name="1" sheetId="3" r:id="rId2"/>
    <sheet name="2" sheetId="4" r:id="rId3"/>
    <sheet name="3" sheetId="5" r:id="rId4"/>
    <sheet name="4" sheetId="6" r:id="rId5"/>
    <sheet name="kpi" sheetId="8" r:id="rId6"/>
    <sheet name="dashboard" sheetId="7" r:id="rId7"/>
  </sheets>
  <definedNames>
    <definedName name="_xlnm._FilterDatabase" localSheetId="1" hidden="1">'1'!$A$1:$H$59</definedName>
    <definedName name="_xlnm._FilterDatabase" localSheetId="4" hidden="1">'4'!$A$20:$C$31</definedName>
    <definedName name="_xlnm._FilterDatabase" localSheetId="0" hidden="1">'raw data'!$A$1:$H$61</definedName>
    <definedName name="Slicer_City">#N/A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8" l="1"/>
  <c r="K47" i="5"/>
  <c r="K3" i="5"/>
  <c r="K11" i="5"/>
  <c r="K20" i="5"/>
  <c r="K30" i="5"/>
  <c r="K51" i="5"/>
  <c r="K12" i="5"/>
  <c r="K37" i="5"/>
  <c r="K56" i="5"/>
  <c r="K4" i="5"/>
  <c r="K48" i="5"/>
  <c r="K5" i="5"/>
  <c r="K13" i="5"/>
  <c r="K14" i="5"/>
  <c r="K52" i="5"/>
  <c r="K53" i="5"/>
  <c r="K42" i="5"/>
  <c r="K38" i="5"/>
  <c r="K15" i="5"/>
  <c r="K6" i="5"/>
  <c r="K49" i="5"/>
  <c r="K7" i="5"/>
  <c r="K16" i="5"/>
  <c r="K21" i="5"/>
  <c r="K31" i="5"/>
  <c r="K54" i="5"/>
  <c r="K43" i="5"/>
  <c r="K39" i="5"/>
  <c r="K57" i="5"/>
  <c r="K8" i="5"/>
  <c r="K22" i="5"/>
  <c r="K27" i="5"/>
  <c r="K17" i="5"/>
  <c r="K23" i="5"/>
  <c r="K32" i="5"/>
  <c r="K55" i="5"/>
  <c r="K44" i="5"/>
  <c r="K40" i="5"/>
  <c r="K58" i="5"/>
  <c r="K9" i="5"/>
  <c r="K24" i="5"/>
  <c r="K28" i="5"/>
  <c r="K18" i="5"/>
  <c r="K25" i="5"/>
  <c r="K33" i="5"/>
  <c r="K34" i="5"/>
  <c r="K45" i="5"/>
  <c r="K41" i="5"/>
  <c r="K59" i="5"/>
  <c r="K10" i="5"/>
  <c r="K50" i="5"/>
  <c r="K29" i="5"/>
  <c r="K19" i="5"/>
  <c r="K26" i="5"/>
  <c r="K35" i="5"/>
  <c r="K36" i="5"/>
  <c r="K46" i="5"/>
  <c r="K2" i="5"/>
  <c r="L10" i="4" a="1"/>
  <c r="L10" i="4" s="1"/>
  <c r="L5"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<sst xmlns="http://schemas.openxmlformats.org/spreadsheetml/2006/main" count="1276" uniqueCount="116">
  <si>
    <t>City</t>
  </si>
  <si>
    <t>Delivery Partner</t>
  </si>
  <si>
    <t>Mumbai</t>
  </si>
  <si>
    <t>Bengaluru</t>
  </si>
  <si>
    <t>Delhi</t>
  </si>
  <si>
    <t>Hyderabad</t>
  </si>
  <si>
    <t>Suresh</t>
  </si>
  <si>
    <t>Priya</t>
  </si>
  <si>
    <t>Swiggy</t>
  </si>
  <si>
    <t>Zomato</t>
  </si>
  <si>
    <t>OrderID</t>
  </si>
  <si>
    <t>Customer</t>
  </si>
  <si>
    <t>Cuisine</t>
  </si>
  <si>
    <t>OrderAmount</t>
  </si>
  <si>
    <t>OrderDate</t>
  </si>
  <si>
    <t>Asha</t>
  </si>
  <si>
    <t>Indian</t>
  </si>
  <si>
    <t>Rohan</t>
  </si>
  <si>
    <t>Chinese</t>
  </si>
  <si>
    <t>Italian</t>
  </si>
  <si>
    <t>Sneha</t>
  </si>
  <si>
    <t>Arjun</t>
  </si>
  <si>
    <t>Dev</t>
  </si>
  <si>
    <t>Mehul</t>
  </si>
  <si>
    <t>Neha</t>
  </si>
  <si>
    <t>Rahul</t>
  </si>
  <si>
    <t>Ananya</t>
  </si>
  <si>
    <t>Isha</t>
  </si>
  <si>
    <t>Pooja</t>
  </si>
  <si>
    <t>Manav</t>
  </si>
  <si>
    <t>Tanya</t>
  </si>
  <si>
    <t>Varun</t>
  </si>
  <si>
    <t>Aarav</t>
  </si>
  <si>
    <t>Karan</t>
  </si>
  <si>
    <t>Riya</t>
  </si>
  <si>
    <t>Mohit</t>
  </si>
  <si>
    <t>Simran</t>
  </si>
  <si>
    <t>Aditya</t>
  </si>
  <si>
    <t>Nisha</t>
  </si>
  <si>
    <t>Vivek</t>
  </si>
  <si>
    <t>Shruti</t>
  </si>
  <si>
    <t>Aman</t>
  </si>
  <si>
    <t>Meera</t>
  </si>
  <si>
    <t>Deepak</t>
  </si>
  <si>
    <t>Alia</t>
  </si>
  <si>
    <t>Sanjay</t>
  </si>
  <si>
    <t>Rohit</t>
  </si>
  <si>
    <t>Sanya</t>
  </si>
  <si>
    <t>Harsh</t>
  </si>
  <si>
    <t>Anjali</t>
  </si>
  <si>
    <t>Yash</t>
  </si>
  <si>
    <t>Kriti</t>
  </si>
  <si>
    <t>Arnav</t>
  </si>
  <si>
    <t>Bhavna</t>
  </si>
  <si>
    <t>Dhruv</t>
  </si>
  <si>
    <t>Snehal</t>
  </si>
  <si>
    <t>Parth</t>
  </si>
  <si>
    <t>Rachna</t>
  </si>
  <si>
    <t>Ishaan</t>
  </si>
  <si>
    <t>Gauri</t>
  </si>
  <si>
    <t>Kunal</t>
  </si>
  <si>
    <t>Shreya</t>
  </si>
  <si>
    <t>Tarun</t>
  </si>
  <si>
    <t>Lavanya</t>
  </si>
  <si>
    <t>Omkar</t>
  </si>
  <si>
    <t>Payal</t>
  </si>
  <si>
    <t>Milan</t>
  </si>
  <si>
    <t>Ritu</t>
  </si>
  <si>
    <t>Kabir</t>
  </si>
  <si>
    <t>Leena</t>
  </si>
  <si>
    <t>Arya</t>
  </si>
  <si>
    <t>Nitin</t>
  </si>
  <si>
    <t>Priti</t>
  </si>
  <si>
    <t>Soham</t>
  </si>
  <si>
    <t>Charu</t>
  </si>
  <si>
    <t>Unassigned</t>
  </si>
  <si>
    <t>RestaurantID</t>
  </si>
  <si>
    <t>Restaurant Name</t>
  </si>
  <si>
    <t>R001</t>
  </si>
  <si>
    <t>Spice Villa</t>
  </si>
  <si>
    <t>R002</t>
  </si>
  <si>
    <t>Dragon Wok</t>
  </si>
  <si>
    <t>R003</t>
  </si>
  <si>
    <t>Pasta Paradise</t>
  </si>
  <si>
    <t>R004</t>
  </si>
  <si>
    <t>Curry Junction</t>
  </si>
  <si>
    <t>R005</t>
  </si>
  <si>
    <t>Bamboo Garden</t>
  </si>
  <si>
    <t>R006</t>
  </si>
  <si>
    <t>Pizza Fiesta</t>
  </si>
  <si>
    <t>R007</t>
  </si>
  <si>
    <t>Tandoori Tales</t>
  </si>
  <si>
    <t>R008</t>
  </si>
  <si>
    <t>Noodle Nest</t>
  </si>
  <si>
    <t>R009</t>
  </si>
  <si>
    <t>Bella Italia</t>
  </si>
  <si>
    <t>R010</t>
  </si>
  <si>
    <t>Masala-e-Magic</t>
  </si>
  <si>
    <t>using vlookup to find restaurant name</t>
  </si>
  <si>
    <t>using xlookup to find restaurant name</t>
  </si>
  <si>
    <t>Day name</t>
  </si>
  <si>
    <t>Delivery charge</t>
  </si>
  <si>
    <t>Sum of Delivery charge</t>
  </si>
  <si>
    <t>Ahmedabad</t>
  </si>
  <si>
    <t>Chennai</t>
  </si>
  <si>
    <t>Pune</t>
  </si>
  <si>
    <t>Kolkata</t>
  </si>
  <si>
    <t>Jaipur</t>
  </si>
  <si>
    <t>Surat</t>
  </si>
  <si>
    <t>Row Labels</t>
  </si>
  <si>
    <t>Count of OrderID</t>
  </si>
  <si>
    <t>x</t>
  </si>
  <si>
    <t>Avg. Delivery</t>
  </si>
  <si>
    <t>Delivery time(mins)</t>
  </si>
  <si>
    <t>Goa</t>
  </si>
  <si>
    <t>Indore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</si>
</sst>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_ &quot;₹&quot;\ * #,##0_ ;_ &quot;₹&quot;\ * \-#,##0_ ;_ &quot;₹&quot;\ * &quot;-&quot;??_ ;_ @_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42">
    <xf numFmtId="0" fontId="0" fillId="0" borderId="0" xfId="0"/>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15" fontId="0" fillId="0" borderId="1" xfId="0" applyNumberFormat="1" applyBorder="1" applyAlignment="1">
      <alignment vertical="center"/>
    </xf>
    <xf numFmtId="44" fontId="0" fillId="0" borderId="1" xfId="1" applyFont="1" applyBorder="1" applyAlignment="1">
      <alignment vertical="center"/>
    </xf>
    <xf numFmtId="164" fontId="0" fillId="0" borderId="1" xfId="1" applyNumberFormat="1" applyFont="1" applyBorder="1" applyAlignment="1">
      <alignment vertical="center"/>
    </xf>
    <xf numFmtId="0" fontId="0" fillId="2" borderId="1" xfId="0" applyFill="1" applyBorder="1" applyAlignment="1">
      <alignment horizontal="center" vertical="center"/>
    </xf>
    <xf numFmtId="0" fontId="0" fillId="2" borderId="1" xfId="0" applyFill="1" applyBorder="1" applyAlignment="1">
      <alignment vertical="center"/>
    </xf>
    <xf numFmtId="164" fontId="0" fillId="2" borderId="1" xfId="1" applyNumberFormat="1" applyFont="1" applyFill="1" applyBorder="1" applyAlignment="1">
      <alignment vertical="center"/>
    </xf>
    <xf numFmtId="15" fontId="0" fillId="2" borderId="1" xfId="0" applyNumberFormat="1" applyFill="1" applyBorder="1" applyAlignment="1">
      <alignment vertical="center"/>
    </xf>
    <xf numFmtId="164" fontId="0" fillId="0" borderId="1" xfId="1" applyNumberFormat="1" applyFont="1" applyFill="1" applyBorder="1" applyAlignment="1">
      <alignment vertical="center"/>
    </xf>
    <xf numFmtId="0" fontId="0" fillId="3" borderId="1" xfId="0" applyFill="1" applyBorder="1" applyAlignment="1">
      <alignment vertical="center"/>
    </xf>
    <xf numFmtId="0" fontId="0" fillId="0" borderId="2" xfId="0" applyBorder="1" applyAlignment="1">
      <alignment horizontal="center" vertical="center"/>
    </xf>
    <xf numFmtId="0" fontId="0" fillId="0" borderId="3" xfId="0" applyBorder="1" applyAlignment="1">
      <alignment vertical="center"/>
    </xf>
    <xf numFmtId="0" fontId="0" fillId="3" borderId="3" xfId="0" applyFill="1" applyBorder="1" applyAlignment="1">
      <alignment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8" xfId="0" applyBorder="1" applyAlignment="1">
      <alignment vertical="center"/>
    </xf>
    <xf numFmtId="164" fontId="0" fillId="0" borderId="8" xfId="1" applyNumberFormat="1" applyFont="1" applyBorder="1" applyAlignment="1">
      <alignment vertical="center"/>
    </xf>
    <xf numFmtId="15" fontId="0" fillId="0" borderId="8" xfId="0" applyNumberFormat="1" applyBorder="1" applyAlignment="1">
      <alignment vertical="center"/>
    </xf>
    <xf numFmtId="0" fontId="0" fillId="3" borderId="9" xfId="0" applyFill="1" applyBorder="1" applyAlignment="1">
      <alignment vertical="center"/>
    </xf>
    <xf numFmtId="0" fontId="0" fillId="0" borderId="1" xfId="0" applyBorder="1"/>
    <xf numFmtId="14" fontId="0" fillId="0" borderId="1" xfId="0" applyNumberFormat="1" applyBorder="1" applyAlignment="1">
      <alignment vertical="center"/>
    </xf>
    <xf numFmtId="14" fontId="0" fillId="0" borderId="8" xfId="0" applyNumberFormat="1" applyBorder="1" applyAlignment="1">
      <alignment vertical="center"/>
    </xf>
    <xf numFmtId="0" fontId="0" fillId="0" borderId="9" xfId="0" applyBorder="1" applyAlignment="1">
      <alignment vertical="center"/>
    </xf>
    <xf numFmtId="0" fontId="2" fillId="4" borderId="12" xfId="0" applyFont="1" applyFill="1" applyBorder="1"/>
    <xf numFmtId="44" fontId="0" fillId="0" borderId="8" xfId="1" applyFont="1" applyBorder="1" applyAlignment="1">
      <alignment vertical="center"/>
    </xf>
    <xf numFmtId="44" fontId="0" fillId="0" borderId="0" xfId="0" applyNumberFormat="1"/>
    <xf numFmtId="15" fontId="0" fillId="5" borderId="1" xfId="0" applyNumberFormat="1" applyFill="1" applyBorder="1" applyAlignment="1">
      <alignment vertical="center"/>
    </xf>
    <xf numFmtId="15" fontId="0" fillId="5" borderId="8" xfId="0" applyNumberFormat="1" applyFill="1" applyBorder="1" applyAlignment="1">
      <alignment vertical="center"/>
    </xf>
    <xf numFmtId="0" fontId="0" fillId="0" borderId="0" xfId="0" pivotButton="1"/>
    <xf numFmtId="0" fontId="0" fillId="0" borderId="0" xfId="0" applyAlignment="1">
      <alignment horizontal="left"/>
    </xf>
    <xf numFmtId="0" fontId="0" fillId="6" borderId="0" xfId="0" applyFill="1"/>
    <xf numFmtId="0" fontId="0" fillId="0" borderId="1" xfId="1" applyNumberFormat="1" applyFont="1" applyBorder="1" applyAlignment="1">
      <alignment horizontal="center" vertical="center"/>
    </xf>
    <xf numFmtId="0" fontId="0" fillId="0" borderId="5" xfId="0" applyBorder="1" applyAlignment="1">
      <alignment vertical="center"/>
    </xf>
    <xf numFmtId="0" fontId="0" fillId="0" borderId="10" xfId="0" applyBorder="1" applyAlignment="1">
      <alignment horizontal="center"/>
    </xf>
    <xf numFmtId="0" fontId="0" fillId="0" borderId="11" xfId="0" applyBorder="1" applyAlignment="1">
      <alignment horizontal="center"/>
    </xf>
    <xf numFmtId="0" fontId="0" fillId="0" borderId="0" xfId="0" applyNumberFormat="1"/>
  </cellXfs>
  <cellStyles count="2">
    <cellStyle name="Currency" xfId="1" builtinId="4"/>
    <cellStyle name="Normal" xfId="0" builtinId="0"/>
  </cellStyles>
  <dxfs count="30">
    <dxf>
      <fill>
        <patternFill patternType="none">
          <fgColor indexed="64"/>
          <bgColor auto="1"/>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20" formatCode="dd/mmm/yy"/>
      <fill>
        <patternFill patternType="solid">
          <fgColor indexed="64"/>
          <bgColor theme="9"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64" formatCode="_ &quot;₹&quot;\ * #,##0_ ;_ &quot;₹&quot;\ * \-#,##0_ ;_ &quot;₹&quot;\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20" formatCode="dd/mmm/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4" formatCode="_ &quot;₹&quot;\ * #,##0_ ;_ &quot;₹&quot;\ * \-#,##0_ ;_ &quot;₹&quot;\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0"/>
      </font>
      <fill>
        <patternFill>
          <bgColor theme="5" tint="-0.24994659260841701"/>
        </patternFill>
      </fill>
      <border diagonalUp="0" diagonalDown="0">
        <left/>
        <right/>
        <top/>
        <bottom/>
        <vertical/>
        <horizontal/>
      </border>
    </dxf>
    <dxf>
      <font>
        <color theme="0"/>
      </font>
      <fill>
        <patternFill>
          <bgColor theme="5" tint="-0.24994659260841701"/>
        </patternFill>
      </fill>
      <border diagonalUp="0" diagonalDown="0">
        <left/>
        <right/>
        <top/>
        <bottom/>
        <vertical/>
        <horizontal/>
      </border>
    </dxf>
  </dxfs>
  <tableStyles count="1" defaultTableStyle="TableStyleMedium2" defaultPivotStyle="PivotStyleLight16">
    <tableStyle name="Slicer Style 1" pivot="0" table="0" count="4" xr9:uid="{F6CE311F-2E1C-4134-B43A-3459D1814CA2}">
      <tableStyleElement type="wholeTable" dxfId="29"/>
      <tableStyleElement type="headerRow" dxfId="28"/>
    </tableStyle>
  </tableStyles>
  <extLst>
    <ext xmlns:x14="http://schemas.microsoft.com/office/spreadsheetml/2009/9/main" uri="{46F421CA-312F-682f-3DD2-61675219B42D}">
      <x14:dxfs count="2">
        <dxf>
          <font>
            <b/>
            <i val="0"/>
            <color theme="1"/>
          </font>
          <fill>
            <patternFill>
              <bgColor theme="5" tint="0.59996337778862885"/>
            </patternFill>
          </fill>
          <border diagonalUp="0" diagonalDown="0">
            <left/>
            <right/>
            <top/>
            <bottom/>
            <vertical/>
            <horizontal/>
          </border>
        </dxf>
        <dxf>
          <font>
            <b/>
            <i val="0"/>
            <color theme="2" tint="-0.24994659260841701"/>
          </font>
          <fill>
            <patternFill>
              <bgColor theme="5"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21.xlsx]4!PivotTable1</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'4'!$C$2</c:f>
              <c:strCache>
                <c:ptCount val="1"/>
                <c:pt idx="0">
                  <c:v>Sum of Delivery charge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'4'!$A$3:$A$14</c:f>
              <c:strCache>
                <c:ptCount val="12"/>
                <c:pt idx="0">
                  <c:v>Ahmedabad</c:v>
                </c:pt>
                <c:pt idx="1">
                  <c:v>Bengaluru</c:v>
                </c:pt>
                <c:pt idx="2">
                  <c:v>Chennai</c:v>
                </c:pt>
                <c:pt idx="3">
                  <c:v>Delhi</c:v>
                </c:pt>
                <c:pt idx="4">
                  <c:v>Hyderabad</c:v>
                </c:pt>
                <c:pt idx="5">
                  <c:v>Jaipur</c:v>
                </c:pt>
                <c:pt idx="6">
                  <c:v>Kolkata</c:v>
                </c:pt>
                <c:pt idx="7">
                  <c:v>Mumbai</c:v>
                </c:pt>
                <c:pt idx="8">
                  <c:v>Pune</c:v>
                </c:pt>
                <c:pt idx="9">
                  <c:v>Surat</c:v>
                </c:pt>
                <c:pt idx="10">
                  <c:v>Goa</c:v>
                </c:pt>
                <c:pt idx="11">
                  <c:v>Indore</c:v>
                </c:pt>
              </c:strCache>
            </c:strRef>
          </c:cat>
          <c:val>
            <c:numRef>
              <c:f>'4'!$C$3:$C$14</c:f>
              <c:numCache>
                <c:formatCode>_("₹"* #,##0.00_);_("₹"* \(#,##0.00\);_("₹"* "-"??_);_(@_)</c:formatCode>
                <c:ptCount val="12"/>
                <c:pt idx="0">
                  <c:v>410</c:v>
                </c:pt>
                <c:pt idx="1">
                  <c:v>370</c:v>
                </c:pt>
                <c:pt idx="2">
                  <c:v>410</c:v>
                </c:pt>
                <c:pt idx="3">
                  <c:v>150</c:v>
                </c:pt>
                <c:pt idx="4">
                  <c:v>370</c:v>
                </c:pt>
                <c:pt idx="5">
                  <c:v>270</c:v>
                </c:pt>
                <c:pt idx="6">
                  <c:v>230</c:v>
                </c:pt>
                <c:pt idx="7">
                  <c:v>220</c:v>
                </c:pt>
                <c:pt idx="8">
                  <c:v>270</c:v>
                </c:pt>
                <c:pt idx="9">
                  <c:v>220</c:v>
                </c:pt>
              </c:numCache>
            </c:numRef>
          </c:val>
          <c:extLst>
            <c:ext xmlns:c16="http://schemas.microsoft.com/office/drawing/2014/chart" uri="{C3380CC4-5D6E-409C-BE32-E72D297353CC}">
              <c16:uniqueId val="{00000001-97B5-493F-9BA4-FC265B4466E3}"/>
            </c:ext>
          </c:extLst>
        </c:ser>
        <c:dLbls>
          <c:showLegendKey val="0"/>
          <c:showVal val="0"/>
          <c:showCatName val="0"/>
          <c:showSerName val="0"/>
          <c:showPercent val="0"/>
          <c:showBubbleSize val="0"/>
        </c:dLbls>
        <c:gapWidth val="150"/>
        <c:axId val="1909283088"/>
        <c:axId val="1909283568"/>
      </c:barChart>
      <c:lineChart>
        <c:grouping val="standard"/>
        <c:varyColors val="0"/>
        <c:ser>
          <c:idx val="0"/>
          <c:order val="0"/>
          <c:tx>
            <c:strRef>
              <c:f>'4'!$B$2</c:f>
              <c:strCache>
                <c:ptCount val="1"/>
                <c:pt idx="0">
                  <c:v>Count of OrderID</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'4'!$A$3:$A$14</c:f>
              <c:strCache>
                <c:ptCount val="12"/>
                <c:pt idx="0">
                  <c:v>Ahmedabad</c:v>
                </c:pt>
                <c:pt idx="1">
                  <c:v>Bengaluru</c:v>
                </c:pt>
                <c:pt idx="2">
                  <c:v>Chennai</c:v>
                </c:pt>
                <c:pt idx="3">
                  <c:v>Delhi</c:v>
                </c:pt>
                <c:pt idx="4">
                  <c:v>Hyderabad</c:v>
                </c:pt>
                <c:pt idx="5">
                  <c:v>Jaipur</c:v>
                </c:pt>
                <c:pt idx="6">
                  <c:v>Kolkata</c:v>
                </c:pt>
                <c:pt idx="7">
                  <c:v>Mumbai</c:v>
                </c:pt>
                <c:pt idx="8">
                  <c:v>Pune</c:v>
                </c:pt>
                <c:pt idx="9">
                  <c:v>Surat</c:v>
                </c:pt>
                <c:pt idx="10">
                  <c:v>Goa</c:v>
                </c:pt>
                <c:pt idx="11">
                  <c:v>Indore</c:v>
                </c:pt>
              </c:strCache>
            </c:strRef>
          </c:cat>
          <c:val>
            <c:numRef>
              <c:f>'4'!$B$3:$B$14</c:f>
              <c:numCache>
                <c:formatCode>General</c:formatCode>
                <c:ptCount val="12"/>
                <c:pt idx="0">
                  <c:v>9</c:v>
                </c:pt>
                <c:pt idx="1">
                  <c:v>9</c:v>
                </c:pt>
                <c:pt idx="2">
                  <c:v>7</c:v>
                </c:pt>
                <c:pt idx="3">
                  <c:v>3</c:v>
                </c:pt>
                <c:pt idx="4">
                  <c:v>7</c:v>
                </c:pt>
                <c:pt idx="5">
                  <c:v>5</c:v>
                </c:pt>
                <c:pt idx="6">
                  <c:v>5</c:v>
                </c:pt>
                <c:pt idx="7">
                  <c:v>4</c:v>
                </c:pt>
                <c:pt idx="8">
                  <c:v>5</c:v>
                </c:pt>
                <c:pt idx="9">
                  <c:v>4</c:v>
                </c:pt>
              </c:numCache>
            </c:numRef>
          </c:val>
          <c:smooth val="0"/>
          <c:extLst>
            <c:ext xmlns:c16="http://schemas.microsoft.com/office/drawing/2014/chart" uri="{C3380CC4-5D6E-409C-BE32-E72D297353CC}">
              <c16:uniqueId val="{00000000-97B5-493F-9BA4-FC265B4466E3}"/>
            </c:ext>
          </c:extLst>
        </c:ser>
        <c:dLbls>
          <c:showLegendKey val="0"/>
          <c:showVal val="0"/>
          <c:showCatName val="0"/>
          <c:showSerName val="0"/>
          <c:showPercent val="0"/>
          <c:showBubbleSize val="0"/>
        </c:dLbls>
        <c:marker val="1"/>
        <c:smooth val="0"/>
        <c:axId val="1916776384"/>
        <c:axId val="1916773504"/>
      </c:lineChart>
      <c:catAx>
        <c:axId val="19092830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909283568"/>
        <c:crosses val="autoZero"/>
        <c:auto val="1"/>
        <c:lblAlgn val="ctr"/>
        <c:lblOffset val="100"/>
        <c:noMultiLvlLbl val="0"/>
      </c:catAx>
      <c:valAx>
        <c:axId val="190928356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909283088"/>
        <c:crosses val="autoZero"/>
        <c:crossBetween val="between"/>
      </c:valAx>
      <c:valAx>
        <c:axId val="191677350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916776384"/>
        <c:crosses val="max"/>
        <c:crossBetween val="between"/>
      </c:valAx>
      <c:catAx>
        <c:axId val="1916776384"/>
        <c:scaling>
          <c:orientation val="minMax"/>
        </c:scaling>
        <c:delete val="1"/>
        <c:axPos val="b"/>
        <c:numFmt formatCode="General" sourceLinked="1"/>
        <c:majorTickMark val="none"/>
        <c:minorTickMark val="none"/>
        <c:tickLblPos val="nextTo"/>
        <c:crossAx val="1916773504"/>
        <c:crosses val="autoZero"/>
        <c:auto val="1"/>
        <c:lblAlgn val="ctr"/>
        <c:lblOffset val="100"/>
        <c:noMultiLvlLbl val="0"/>
      </c:catAx>
      <c:spPr>
        <a:noFill/>
        <a:ln>
          <a:noFill/>
        </a:ln>
        <a:effectLst/>
      </c:spPr>
    </c:plotArea>
    <c:legend>
      <c:legendPos val="t"/>
      <c:layout>
        <c:manualLayout>
          <c:xMode val="edge"/>
          <c:yMode val="edge"/>
          <c:x val="0.62207086614173224"/>
          <c:y val="2.2127442403032958E-2"/>
          <c:w val="0.36696916010498687"/>
          <c:h val="0.20557706328375619"/>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05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21.xlsx]4!PivotTable2</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Order</a:t>
            </a:r>
          </a:p>
        </c:rich>
      </c:tx>
      <c:layout>
        <c:manualLayout>
          <c:xMode val="edge"/>
          <c:yMode val="edge"/>
          <c:x val="0.32412854559399912"/>
          <c:y val="4.06459609215514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9237648913188806E-2"/>
          <c:y val="0.21936971420239137"/>
          <c:w val="0.66905997340144818"/>
          <c:h val="0.75285250801983084"/>
        </c:manualLayout>
      </c:layout>
      <c:doughnutChart>
        <c:varyColors val="1"/>
        <c:ser>
          <c:idx val="0"/>
          <c:order val="0"/>
          <c:tx>
            <c:strRef>
              <c:f>'4'!$B$20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492-4D66-92A7-C975B4A1AB5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492-4D66-92A7-C975B4A1AB5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492-4D66-92A7-C975B4A1AB5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'4'!$A$21:$A$23</c:f>
              <c:strCache>
                <c:ptCount val="3"/>
                <c:pt idx="0">
                  <c:v>Spice Villa</c:v>
                </c:pt>
                <c:pt idx="1">
                  <c:v>Dragon Wok</c:v>
                </c:pt>
                <c:pt idx="2">
                  <c:v>Bamboo Garden</c:v>
                </c:pt>
              </c:strCache>
            </c:strRef>
          </c:cat>
          <c:val>
            <c:numRef>
              <c:f>'4'!$B$21:$B$23</c:f>
              <c:numCache>
                <c:formatCode>General</c:formatCode>
                <c:ptCount val="3"/>
                <c:pt idx="0">
                  <c:v>7</c:v>
                </c:pt>
                <c:pt idx="1">
                  <c:v>8</c:v>
                </c:pt>
                <c:pt idx="2">
                  <c:v>9</c:v>
                </c:pt>
              </c:numCache>
            </c:numRef>
          </c:val>
          <c:extLst>
            <c:ext xmlns:c16="http://schemas.microsoft.com/office/drawing/2014/chart" uri="{C3380CC4-5D6E-409C-BE32-E72D297353CC}">
              <c16:uniqueId val="{00000004-CB91-4CA6-8247-648BED783066}"/>
            </c:ext>
          </c:extLst>
        </c:ser>
        <c:dLbls>
          <c:showLegendKey val="0"/>
          <c:showVal val="0"/>
          <c:showCatName val="0"/>
          <c:showSerName val="0"/>
          <c:showPercent val="1"/>
          <c:showBubbleSize val="0"/>
          <c:showLeaderLines val="1"/>
        </c:dLbls>
        <c:firstSliceAng val="0"/>
        <c:holeSize val="20"/>
      </c:doughnutChart>
      <c:spPr>
        <a:noFill/>
        <a:ln w="31750">
          <a:noFill/>
        </a:ln>
        <a:effectLst/>
      </c:spPr>
    </c:plotArea>
    <c:legend>
      <c:legendPos val="t"/>
      <c:layout>
        <c:manualLayout>
          <c:xMode val="edge"/>
          <c:yMode val="edge"/>
          <c:x val="0.71204492199869118"/>
          <c:y val="2.2011883931175272E-2"/>
          <c:w val="0.28577005622286489"/>
          <c:h val="0.9659948235637212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21.xlsx]4!PivotTable1</c:name>
    <c:fmtId val="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'4'!$C$2</c:f>
              <c:strCache>
                <c:ptCount val="1"/>
                <c:pt idx="0">
                  <c:v>Sum of Delivery charge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'4'!$A$3:$A$14</c:f>
              <c:strCache>
                <c:ptCount val="12"/>
                <c:pt idx="0">
                  <c:v>Ahmedabad</c:v>
                </c:pt>
                <c:pt idx="1">
                  <c:v>Bengaluru</c:v>
                </c:pt>
                <c:pt idx="2">
                  <c:v>Chennai</c:v>
                </c:pt>
                <c:pt idx="3">
                  <c:v>Delhi</c:v>
                </c:pt>
                <c:pt idx="4">
                  <c:v>Hyderabad</c:v>
                </c:pt>
                <c:pt idx="5">
                  <c:v>Jaipur</c:v>
                </c:pt>
                <c:pt idx="6">
                  <c:v>Kolkata</c:v>
                </c:pt>
                <c:pt idx="7">
                  <c:v>Mumbai</c:v>
                </c:pt>
                <c:pt idx="8">
                  <c:v>Pune</c:v>
                </c:pt>
                <c:pt idx="9">
                  <c:v>Surat</c:v>
                </c:pt>
                <c:pt idx="10">
                  <c:v>Goa</c:v>
                </c:pt>
                <c:pt idx="11">
                  <c:v>Indore</c:v>
                </c:pt>
              </c:strCache>
            </c:strRef>
          </c:cat>
          <c:val>
            <c:numRef>
              <c:f>'4'!$C$3:$C$14</c:f>
              <c:numCache>
                <c:formatCode>_("₹"* #,##0.00_);_("₹"* \(#,##0.00\);_("₹"* "-"??_);_(@_)</c:formatCode>
                <c:ptCount val="12"/>
                <c:pt idx="0">
                  <c:v>410</c:v>
                </c:pt>
                <c:pt idx="1">
                  <c:v>370</c:v>
                </c:pt>
                <c:pt idx="2">
                  <c:v>410</c:v>
                </c:pt>
                <c:pt idx="3">
                  <c:v>150</c:v>
                </c:pt>
                <c:pt idx="4">
                  <c:v>370</c:v>
                </c:pt>
                <c:pt idx="5">
                  <c:v>270</c:v>
                </c:pt>
                <c:pt idx="6">
                  <c:v>230</c:v>
                </c:pt>
                <c:pt idx="7">
                  <c:v>220</c:v>
                </c:pt>
                <c:pt idx="8">
                  <c:v>270</c:v>
                </c:pt>
                <c:pt idx="9">
                  <c:v>220</c:v>
                </c:pt>
              </c:numCache>
            </c:numRef>
          </c:val>
          <c:extLst>
            <c:ext xmlns:c16="http://schemas.microsoft.com/office/drawing/2014/chart" uri="{C3380CC4-5D6E-409C-BE32-E72D297353CC}">
              <c16:uniqueId val="{00000000-9AA6-4B2F-95F6-5C1D9D4976C2}"/>
            </c:ext>
          </c:extLst>
        </c:ser>
        <c:dLbls>
          <c:showLegendKey val="0"/>
          <c:showVal val="0"/>
          <c:showCatName val="0"/>
          <c:showSerName val="0"/>
          <c:showPercent val="0"/>
          <c:showBubbleSize val="0"/>
        </c:dLbls>
        <c:gapWidth val="150"/>
        <c:axId val="1909283088"/>
        <c:axId val="1909283568"/>
      </c:barChart>
      <c:lineChart>
        <c:grouping val="standard"/>
        <c:varyColors val="0"/>
        <c:ser>
          <c:idx val="0"/>
          <c:order val="0"/>
          <c:tx>
            <c:strRef>
              <c:f>'4'!$B$2</c:f>
              <c:strCache>
                <c:ptCount val="1"/>
                <c:pt idx="0">
                  <c:v>Count of OrderID</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'4'!$A$3:$A$14</c:f>
              <c:strCache>
                <c:ptCount val="12"/>
                <c:pt idx="0">
                  <c:v>Ahmedabad</c:v>
                </c:pt>
                <c:pt idx="1">
                  <c:v>Bengaluru</c:v>
                </c:pt>
                <c:pt idx="2">
                  <c:v>Chennai</c:v>
                </c:pt>
                <c:pt idx="3">
                  <c:v>Delhi</c:v>
                </c:pt>
                <c:pt idx="4">
                  <c:v>Hyderabad</c:v>
                </c:pt>
                <c:pt idx="5">
                  <c:v>Jaipur</c:v>
                </c:pt>
                <c:pt idx="6">
                  <c:v>Kolkata</c:v>
                </c:pt>
                <c:pt idx="7">
                  <c:v>Mumbai</c:v>
                </c:pt>
                <c:pt idx="8">
                  <c:v>Pune</c:v>
                </c:pt>
                <c:pt idx="9">
                  <c:v>Surat</c:v>
                </c:pt>
                <c:pt idx="10">
                  <c:v>Goa</c:v>
                </c:pt>
                <c:pt idx="11">
                  <c:v>Indore</c:v>
                </c:pt>
              </c:strCache>
            </c:strRef>
          </c:cat>
          <c:val>
            <c:numRef>
              <c:f>'4'!$B$3:$B$14</c:f>
              <c:numCache>
                <c:formatCode>General</c:formatCode>
                <c:ptCount val="12"/>
                <c:pt idx="0">
                  <c:v>9</c:v>
                </c:pt>
                <c:pt idx="1">
                  <c:v>9</c:v>
                </c:pt>
                <c:pt idx="2">
                  <c:v>7</c:v>
                </c:pt>
                <c:pt idx="3">
                  <c:v>3</c:v>
                </c:pt>
                <c:pt idx="4">
                  <c:v>7</c:v>
                </c:pt>
                <c:pt idx="5">
                  <c:v>5</c:v>
                </c:pt>
                <c:pt idx="6">
                  <c:v>5</c:v>
                </c:pt>
                <c:pt idx="7">
                  <c:v>4</c:v>
                </c:pt>
                <c:pt idx="8">
                  <c:v>5</c:v>
                </c:pt>
                <c:pt idx="9">
                  <c:v>4</c:v>
                </c:pt>
              </c:numCache>
            </c:numRef>
          </c:val>
          <c:smooth val="0"/>
          <c:extLst>
            <c:ext xmlns:c16="http://schemas.microsoft.com/office/drawing/2014/chart" uri="{C3380CC4-5D6E-409C-BE32-E72D297353CC}">
              <c16:uniqueId val="{00000001-9AA6-4B2F-95F6-5C1D9D4976C2}"/>
            </c:ext>
          </c:extLst>
        </c:ser>
        <c:dLbls>
          <c:showLegendKey val="0"/>
          <c:showVal val="0"/>
          <c:showCatName val="0"/>
          <c:showSerName val="0"/>
          <c:showPercent val="0"/>
          <c:showBubbleSize val="0"/>
        </c:dLbls>
        <c:marker val="1"/>
        <c:smooth val="0"/>
        <c:axId val="1916776384"/>
        <c:axId val="1916773504"/>
      </c:lineChart>
      <c:catAx>
        <c:axId val="19092830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909283568"/>
        <c:crosses val="autoZero"/>
        <c:auto val="1"/>
        <c:lblAlgn val="ctr"/>
        <c:lblOffset val="100"/>
        <c:noMultiLvlLbl val="0"/>
      </c:catAx>
      <c:valAx>
        <c:axId val="190928356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909283088"/>
        <c:crosses val="autoZero"/>
        <c:crossBetween val="between"/>
      </c:valAx>
      <c:valAx>
        <c:axId val="191677350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916776384"/>
        <c:crosses val="max"/>
        <c:crossBetween val="between"/>
      </c:valAx>
      <c:catAx>
        <c:axId val="1916776384"/>
        <c:scaling>
          <c:orientation val="minMax"/>
        </c:scaling>
        <c:delete val="1"/>
        <c:axPos val="b"/>
        <c:numFmt formatCode="General" sourceLinked="1"/>
        <c:majorTickMark val="none"/>
        <c:minorTickMark val="none"/>
        <c:tickLblPos val="nextTo"/>
        <c:crossAx val="1916773504"/>
        <c:crosses val="autoZero"/>
        <c:auto val="1"/>
        <c:lblAlgn val="ctr"/>
        <c:lblOffset val="100"/>
        <c:noMultiLvlLbl val="0"/>
      </c:catAx>
      <c:spPr>
        <a:noFill/>
        <a:ln>
          <a:noFill/>
        </a:ln>
        <a:effectLst/>
      </c:spPr>
    </c:plotArea>
    <c:legend>
      <c:legendPos val="t"/>
      <c:layout>
        <c:manualLayout>
          <c:xMode val="edge"/>
          <c:yMode val="edge"/>
          <c:x val="0.62207079655838249"/>
          <c:y val="1.1778026754925995E-3"/>
          <c:w val="0.36696916010498687"/>
          <c:h val="0.25585635162259635"/>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sz="105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21.xlsx]4!PivotTable2</c:name>
    <c:fmtId val="14"/>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t>Top</a:t>
            </a:r>
            <a:r>
              <a:rPr lang="en-US" baseline="0"/>
              <a:t> 3 Restaurant </a:t>
            </a:r>
            <a:r>
              <a:rPr lang="en-US"/>
              <a:t>Order</a:t>
            </a:r>
          </a:p>
        </c:rich>
      </c:tx>
      <c:layout>
        <c:manualLayout>
          <c:xMode val="edge"/>
          <c:yMode val="edge"/>
          <c:x val="0.11129158169122512"/>
          <c:y val="8.96922956114503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2280000" spcFirstLastPara="1" vertOverflow="ellipsis" horzOverflow="clip" vert="horz" wrap="none" lIns="0" tIns="0" rIns="0" bIns="0" anchor="t" anchorCtr="0">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2280000" spcFirstLastPara="1" vertOverflow="ellipsis" horzOverflow="clip" vert="horz" wrap="none" lIns="0" tIns="0" rIns="0" bIns="0" anchor="t" anchorCtr="0">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228000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4.1899178208167784E-2"/>
          <c:y val="0.22741597149069273"/>
          <c:w val="0.66690139672118798"/>
          <c:h val="0.71928074134565179"/>
        </c:manualLayout>
      </c:layout>
      <c:doughnutChart>
        <c:varyColors val="1"/>
        <c:ser>
          <c:idx val="0"/>
          <c:order val="0"/>
          <c:tx>
            <c:strRef>
              <c:f>'4'!$B$20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A04-4AD4-A8F5-E7DE34FBD6E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A04-4AD4-A8F5-E7DE34FBD6E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A04-4AD4-A8F5-E7DE34FBD6E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228000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s>
          <c:cat>
            <c:strRef>
              <c:f>'4'!$A$21:$A$23</c:f>
              <c:strCache>
                <c:ptCount val="3"/>
                <c:pt idx="0">
                  <c:v>Spice Villa</c:v>
                </c:pt>
                <c:pt idx="1">
                  <c:v>Dragon Wok</c:v>
                </c:pt>
                <c:pt idx="2">
                  <c:v>Bamboo Garden</c:v>
                </c:pt>
              </c:strCache>
            </c:strRef>
          </c:cat>
          <c:val>
            <c:numRef>
              <c:f>'4'!$B$21:$B$23</c:f>
              <c:numCache>
                <c:formatCode>General</c:formatCode>
                <c:ptCount val="3"/>
                <c:pt idx="0">
                  <c:v>7</c:v>
                </c:pt>
                <c:pt idx="1">
                  <c:v>8</c:v>
                </c:pt>
                <c:pt idx="2">
                  <c:v>9</c:v>
                </c:pt>
              </c:numCache>
            </c:numRef>
          </c:val>
          <c:extLst>
            <c:ext xmlns:c16="http://schemas.microsoft.com/office/drawing/2014/chart" uri="{C3380CC4-5D6E-409C-BE32-E72D297353CC}">
              <c16:uniqueId val="{00000018-414E-492F-BA3C-494D074E0E3F}"/>
            </c:ext>
          </c:extLst>
        </c:ser>
        <c:dLbls>
          <c:showLegendKey val="0"/>
          <c:showVal val="0"/>
          <c:showCatName val="0"/>
          <c:showSerName val="0"/>
          <c:showPercent val="1"/>
          <c:showBubbleSize val="0"/>
          <c:showLeaderLines val="1"/>
        </c:dLbls>
        <c:firstSliceAng val="0"/>
        <c:holeSize val="20"/>
      </c:doughnutChart>
      <c:spPr>
        <a:noFill/>
        <a:ln w="31750">
          <a:noFill/>
        </a:ln>
        <a:effectLst/>
      </c:spPr>
    </c:plotArea>
    <c:legend>
      <c:legendPos val="t"/>
      <c:layout>
        <c:manualLayout>
          <c:xMode val="edge"/>
          <c:yMode val="edge"/>
          <c:x val="0.71204493716319517"/>
          <c:y val="3.3115771500293167E-3"/>
          <c:w val="0.28795506283680466"/>
          <c:h val="0.259577879194725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466725</xdr:colOff>
      <xdr:row>1</xdr:row>
      <xdr:rowOff>185737</xdr:rowOff>
    </xdr:from>
    <xdr:to>
      <xdr:col>11</xdr:col>
      <xdr:colOff>161925</xdr:colOff>
      <xdr:row>16</xdr:row>
      <xdr:rowOff>71437</xdr:rowOff>
    </xdr:to>
    <xdr:graphicFrame macro="">
      <xdr:nvGraphicFramePr>
        <xdr:cNvPr id="2" name="Chart 1">
          <a:extLst>
            <a:ext uri="{FF2B5EF4-FFF2-40B4-BE49-F238E27FC236}">
              <a16:creationId xmlns:a16="http://schemas.microsoft.com/office/drawing/2014/main" id="{C459AE6C-322F-73CB-1D19-0B2E65B35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1323975</xdr:colOff>
      <xdr:row>17</xdr:row>
      <xdr:rowOff>119061</xdr:rowOff>
    </xdr:from>
    <xdr:to>
      <xdr:col>8</xdr:col>
      <xdr:colOff>381000</xdr:colOff>
      <xdr:row>40</xdr:row>
      <xdr:rowOff>0</xdr:rowOff>
    </xdr:to>
    <xdr:graphicFrame macro="">
      <xdr:nvGraphicFramePr>
        <xdr:cNvPr id="3" name="Chart 2">
          <a:extLst>
            <a:ext uri="{FF2B5EF4-FFF2-40B4-BE49-F238E27FC236}">
              <a16:creationId xmlns:a16="http://schemas.microsoft.com/office/drawing/2014/main" id="{1709B9F4-3140-27B8-ABAF-0068F8832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0</xdr:row>
      <xdr:rowOff>85726</xdr:rowOff>
    </xdr:from>
    <xdr:to>
      <xdr:col>7</xdr:col>
      <xdr:colOff>523875</xdr:colOff>
      <xdr:row>0</xdr:row>
      <xdr:rowOff>876300</xdr:rowOff>
    </xdr:to>
    <xdr:sp macro="" textlink="">
      <xdr:nvSpPr>
        <xdr:cNvPr id="2" name="Flowchart: Terminator 1">
          <a:extLst>
            <a:ext uri="{FF2B5EF4-FFF2-40B4-BE49-F238E27FC236}">
              <a16:creationId xmlns:a16="http://schemas.microsoft.com/office/drawing/2014/main" id="{B1485251-DC42-3F33-66CF-9720F6BF25BE}"/>
            </a:ext>
          </a:extLst>
        </xdr:cNvPr>
        <xdr:cNvSpPr/>
      </xdr:nvSpPr>
      <xdr:spPr>
        <a:xfrm>
          <a:off x="123825" y="85726"/>
          <a:ext cx="4667250" cy="790574"/>
        </a:xfrm>
        <a:prstGeom prst="flowChartTerminator">
          <a:avLst/>
        </a:prstGeom>
        <a:solidFill>
          <a:schemeClr val="accent2">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2000" b="1" i="0" baseline="0">
              <a:solidFill>
                <a:schemeClr val="bg1"/>
              </a:solidFill>
              <a:effectLst/>
              <a:latin typeface="Arial Black" panose="020B0A04020102020204" pitchFamily="34" charset="0"/>
              <a:ea typeface="+mn-ea"/>
              <a:cs typeface="+mn-cs"/>
            </a:rPr>
            <a:t>Delivery Business Analysis</a:t>
          </a:r>
          <a:endParaRPr lang="en-IN" sz="2000" b="1">
            <a:solidFill>
              <a:schemeClr val="bg1"/>
            </a:solidFill>
            <a:effectLst/>
            <a:latin typeface="Arial Black" panose="020B0A04020102020204" pitchFamily="34" charset="0"/>
          </a:endParaRPr>
        </a:p>
        <a:p>
          <a:pPr algn="l"/>
          <a:endParaRPr lang="en-IN" sz="1100"/>
        </a:p>
      </xdr:txBody>
    </xdr:sp>
    <xdr:clientData/>
  </xdr:twoCellAnchor>
  <xdr:twoCellAnchor>
    <xdr:from>
      <xdr:col>8</xdr:col>
      <xdr:colOff>47624</xdr:colOff>
      <xdr:row>0</xdr:row>
      <xdr:rowOff>85726</xdr:rowOff>
    </xdr:from>
    <xdr:to>
      <xdr:col>12</xdr:col>
      <xdr:colOff>552449</xdr:colOff>
      <xdr:row>0</xdr:row>
      <xdr:rowOff>885825</xdr:rowOff>
    </xdr:to>
    <xdr:sp macro="" textlink="">
      <xdr:nvSpPr>
        <xdr:cNvPr id="4" name="Flowchart: Terminator 3">
          <a:extLst>
            <a:ext uri="{FF2B5EF4-FFF2-40B4-BE49-F238E27FC236}">
              <a16:creationId xmlns:a16="http://schemas.microsoft.com/office/drawing/2014/main" id="{A69374FD-B6F3-4BBF-B5C9-816471421B17}"/>
            </a:ext>
          </a:extLst>
        </xdr:cNvPr>
        <xdr:cNvSpPr/>
      </xdr:nvSpPr>
      <xdr:spPr>
        <a:xfrm>
          <a:off x="4924424" y="85726"/>
          <a:ext cx="2943225" cy="800099"/>
        </a:xfrm>
        <a:prstGeom prst="flowChartTerminator">
          <a:avLst/>
        </a:prstGeom>
        <a:solidFill>
          <a:schemeClr val="accent2">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2000" b="1">
              <a:solidFill>
                <a:schemeClr val="bg1"/>
              </a:solidFill>
              <a:effectLst/>
              <a:latin typeface="Arial Black" panose="020B0A04020102020204" pitchFamily="34" charset="0"/>
            </a:rPr>
            <a:t>Total Orders</a:t>
          </a:r>
        </a:p>
        <a:p>
          <a:pPr algn="l"/>
          <a:endParaRPr lang="en-IN" sz="1100"/>
        </a:p>
      </xdr:txBody>
    </xdr:sp>
    <xdr:clientData/>
  </xdr:twoCellAnchor>
  <xdr:twoCellAnchor>
    <xdr:from>
      <xdr:col>13</xdr:col>
      <xdr:colOff>114299</xdr:colOff>
      <xdr:row>0</xdr:row>
      <xdr:rowOff>76201</xdr:rowOff>
    </xdr:from>
    <xdr:to>
      <xdr:col>18</xdr:col>
      <xdr:colOff>9524</xdr:colOff>
      <xdr:row>0</xdr:row>
      <xdr:rowOff>876300</xdr:rowOff>
    </xdr:to>
    <xdr:sp macro="" textlink="">
      <xdr:nvSpPr>
        <xdr:cNvPr id="5" name="Flowchart: Terminator 4">
          <a:extLst>
            <a:ext uri="{FF2B5EF4-FFF2-40B4-BE49-F238E27FC236}">
              <a16:creationId xmlns:a16="http://schemas.microsoft.com/office/drawing/2014/main" id="{1D1A5582-C6A0-4413-BBA9-E4C4BA1749FC}"/>
            </a:ext>
          </a:extLst>
        </xdr:cNvPr>
        <xdr:cNvSpPr/>
      </xdr:nvSpPr>
      <xdr:spPr>
        <a:xfrm>
          <a:off x="8039099" y="76201"/>
          <a:ext cx="2943225" cy="800099"/>
        </a:xfrm>
        <a:prstGeom prst="flowChartTerminator">
          <a:avLst/>
        </a:prstGeom>
        <a:solidFill>
          <a:schemeClr val="accent2">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2000" b="1">
              <a:solidFill>
                <a:schemeClr val="bg1"/>
              </a:solidFill>
              <a:effectLst/>
              <a:latin typeface="Arial Black" panose="020B0A04020102020204" pitchFamily="34" charset="0"/>
            </a:rPr>
            <a:t>Avg</a:t>
          </a:r>
          <a:r>
            <a:rPr lang="en-IN" sz="2000" b="1" baseline="0">
              <a:solidFill>
                <a:schemeClr val="bg1"/>
              </a:solidFill>
              <a:effectLst/>
              <a:latin typeface="Arial Black" panose="020B0A04020102020204" pitchFamily="34" charset="0"/>
            </a:rPr>
            <a:t>. Time</a:t>
          </a:r>
          <a:endParaRPr lang="en-IN" sz="2000" b="1">
            <a:solidFill>
              <a:schemeClr val="bg1"/>
            </a:solidFill>
            <a:effectLst/>
            <a:latin typeface="Arial Black" panose="020B0A04020102020204" pitchFamily="34" charset="0"/>
          </a:endParaRPr>
        </a:p>
        <a:p>
          <a:pPr algn="l"/>
          <a:endParaRPr lang="en-IN" sz="1100"/>
        </a:p>
      </xdr:txBody>
    </xdr:sp>
    <xdr:clientData/>
  </xdr:twoCellAnchor>
  <xdr:twoCellAnchor>
    <xdr:from>
      <xdr:col>0</xdr:col>
      <xdr:colOff>114299</xdr:colOff>
      <xdr:row>1</xdr:row>
      <xdr:rowOff>95250</xdr:rowOff>
    </xdr:from>
    <xdr:to>
      <xdr:col>8</xdr:col>
      <xdr:colOff>85725</xdr:colOff>
      <xdr:row>20</xdr:row>
      <xdr:rowOff>95250</xdr:rowOff>
    </xdr:to>
    <xdr:sp macro="" textlink="">
      <xdr:nvSpPr>
        <xdr:cNvPr id="6" name="Flowchart: Terminator 5">
          <a:extLst>
            <a:ext uri="{FF2B5EF4-FFF2-40B4-BE49-F238E27FC236}">
              <a16:creationId xmlns:a16="http://schemas.microsoft.com/office/drawing/2014/main" id="{14D06A82-51DF-487A-BAF9-470929B46FC2}"/>
            </a:ext>
          </a:extLst>
        </xdr:cNvPr>
        <xdr:cNvSpPr/>
      </xdr:nvSpPr>
      <xdr:spPr>
        <a:xfrm>
          <a:off x="114299" y="1059656"/>
          <a:ext cx="4829176" cy="3619500"/>
        </a:xfrm>
        <a:prstGeom prst="flowChartTerminator">
          <a:avLst/>
        </a:prstGeom>
        <a:solidFill>
          <a:schemeClr val="accent2">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IN" sz="2000" b="1">
            <a:solidFill>
              <a:schemeClr val="bg1"/>
            </a:solidFill>
            <a:effectLst/>
            <a:latin typeface="Arial Black" panose="020B0A04020102020204" pitchFamily="34" charset="0"/>
          </a:endParaRPr>
        </a:p>
        <a:p>
          <a:pPr algn="l"/>
          <a:endParaRPr lang="en-IN" sz="1100"/>
        </a:p>
      </xdr:txBody>
    </xdr:sp>
    <xdr:clientData/>
  </xdr:twoCellAnchor>
  <xdr:twoCellAnchor>
    <xdr:from>
      <xdr:col>0</xdr:col>
      <xdr:colOff>381001</xdr:colOff>
      <xdr:row>2</xdr:row>
      <xdr:rowOff>38099</xdr:rowOff>
    </xdr:from>
    <xdr:to>
      <xdr:col>7</xdr:col>
      <xdr:colOff>409576</xdr:colOff>
      <xdr:row>19</xdr:row>
      <xdr:rowOff>59531</xdr:rowOff>
    </xdr:to>
    <xdr:graphicFrame macro="">
      <xdr:nvGraphicFramePr>
        <xdr:cNvPr id="7" name="Chart 6">
          <a:extLst>
            <a:ext uri="{FF2B5EF4-FFF2-40B4-BE49-F238E27FC236}">
              <a16:creationId xmlns:a16="http://schemas.microsoft.com/office/drawing/2014/main" id="{42B2E7B6-1548-4479-956A-4B065BCB6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180974</xdr:colOff>
      <xdr:row>1</xdr:row>
      <xdr:rowOff>76200</xdr:rowOff>
    </xdr:from>
    <xdr:to>
      <xdr:col>15</xdr:col>
      <xdr:colOff>180976</xdr:colOff>
      <xdr:row>20</xdr:row>
      <xdr:rowOff>107156</xdr:rowOff>
    </xdr:to>
    <xdr:sp macro="" textlink="">
      <xdr:nvSpPr>
        <xdr:cNvPr id="9" name="Flowchart: Terminator 8">
          <a:extLst>
            <a:ext uri="{FF2B5EF4-FFF2-40B4-BE49-F238E27FC236}">
              <a16:creationId xmlns:a16="http://schemas.microsoft.com/office/drawing/2014/main" id="{A613D7AF-9EDE-416F-8835-74E5CABCFC18}"/>
            </a:ext>
          </a:extLst>
        </xdr:cNvPr>
        <xdr:cNvSpPr/>
      </xdr:nvSpPr>
      <xdr:spPr>
        <a:xfrm>
          <a:off x="5038724" y="1040606"/>
          <a:ext cx="4250533" cy="3650456"/>
        </a:xfrm>
        <a:prstGeom prst="flowChartTerminator">
          <a:avLst/>
        </a:prstGeom>
        <a:solidFill>
          <a:schemeClr val="accent2">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IN" sz="2000" b="1">
            <a:solidFill>
              <a:schemeClr val="bg1"/>
            </a:solidFill>
            <a:effectLst/>
            <a:latin typeface="Arial Black" panose="020B0A04020102020204" pitchFamily="34" charset="0"/>
          </a:endParaRPr>
        </a:p>
        <a:p>
          <a:pPr algn="l"/>
          <a:endParaRPr lang="en-IN" sz="1100"/>
        </a:p>
      </xdr:txBody>
    </xdr:sp>
    <xdr:clientData/>
  </xdr:twoCellAnchor>
  <xdr:twoCellAnchor>
    <xdr:from>
      <xdr:col>8</xdr:col>
      <xdr:colOff>416719</xdr:colOff>
      <xdr:row>2</xdr:row>
      <xdr:rowOff>45242</xdr:rowOff>
    </xdr:from>
    <xdr:to>
      <xdr:col>14</xdr:col>
      <xdr:colOff>435769</xdr:colOff>
      <xdr:row>20</xdr:row>
      <xdr:rowOff>11905</xdr:rowOff>
    </xdr:to>
    <xdr:graphicFrame macro="">
      <xdr:nvGraphicFramePr>
        <xdr:cNvPr id="8" name="Chart 7">
          <a:extLst>
            <a:ext uri="{FF2B5EF4-FFF2-40B4-BE49-F238E27FC236}">
              <a16:creationId xmlns:a16="http://schemas.microsoft.com/office/drawing/2014/main" id="{3D7D195A-CDC1-4F5C-8B59-6B5016F37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285749</xdr:colOff>
      <xdr:row>1</xdr:row>
      <xdr:rowOff>104774</xdr:rowOff>
    </xdr:from>
    <xdr:to>
      <xdr:col>18</xdr:col>
      <xdr:colOff>133350</xdr:colOff>
      <xdr:row>20</xdr:row>
      <xdr:rowOff>178594</xdr:rowOff>
    </xdr:to>
    <xdr:sp macro="" textlink="">
      <xdr:nvSpPr>
        <xdr:cNvPr id="10" name="Flowchart: Terminator 9">
          <a:extLst>
            <a:ext uri="{FF2B5EF4-FFF2-40B4-BE49-F238E27FC236}">
              <a16:creationId xmlns:a16="http://schemas.microsoft.com/office/drawing/2014/main" id="{5F96CAE1-FFF9-42A1-B48E-01351CB66BF7}"/>
            </a:ext>
          </a:extLst>
        </xdr:cNvPr>
        <xdr:cNvSpPr/>
      </xdr:nvSpPr>
      <xdr:spPr>
        <a:xfrm>
          <a:off x="9394030" y="1069180"/>
          <a:ext cx="1669258" cy="3693320"/>
        </a:xfrm>
        <a:prstGeom prst="flowChartTerminator">
          <a:avLst/>
        </a:prstGeom>
        <a:solidFill>
          <a:schemeClr val="accent2">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IN" sz="2000" b="1">
            <a:solidFill>
              <a:schemeClr val="bg1"/>
            </a:solidFill>
            <a:effectLst/>
            <a:latin typeface="Arial Black" panose="020B0A04020102020204" pitchFamily="34" charset="0"/>
          </a:endParaRPr>
        </a:p>
        <a:p>
          <a:pPr algn="l"/>
          <a:endParaRPr lang="en-IN" sz="1100"/>
        </a:p>
      </xdr:txBody>
    </xdr:sp>
    <xdr:clientData/>
  </xdr:twoCellAnchor>
  <xdr:twoCellAnchor editAs="oneCell">
    <xdr:from>
      <xdr:col>15</xdr:col>
      <xdr:colOff>497416</xdr:colOff>
      <xdr:row>2</xdr:row>
      <xdr:rowOff>20108</xdr:rowOff>
    </xdr:from>
    <xdr:to>
      <xdr:col>17</xdr:col>
      <xdr:colOff>550333</xdr:colOff>
      <xdr:row>20</xdr:row>
      <xdr:rowOff>95250</xdr:rowOff>
    </xdr:to>
    <mc:AlternateContent xmlns:mc="http://schemas.openxmlformats.org/markup-compatibility/2006" xmlns:a14="http://schemas.microsoft.com/office/drawing/2010/main">
      <mc:Choice Requires="a14">
        <xdr:graphicFrame macro="">
          <xdr:nvGraphicFramePr>
            <xdr:cNvPr id="11" name="City 1">
              <a:extLst>
                <a:ext uri="{FF2B5EF4-FFF2-40B4-BE49-F238E27FC236}">
                  <a16:creationId xmlns:a16="http://schemas.microsoft.com/office/drawing/2014/main" id="{C21B1F40-C739-474F-960C-C2D571F9D74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9682237" y="1176715"/>
              <a:ext cx="1277560" cy="3504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523874</xdr:colOff>
      <xdr:row>0</xdr:row>
      <xdr:rowOff>166687</xdr:rowOff>
    </xdr:from>
    <xdr:to>
      <xdr:col>12</xdr:col>
      <xdr:colOff>595312</xdr:colOff>
      <xdr:row>0</xdr:row>
      <xdr:rowOff>702468</xdr:rowOff>
    </xdr:to>
    <xdr:sp macro="" textlink="kpi!A2">
      <xdr:nvSpPr>
        <xdr:cNvPr id="14" name="Flowchart: Terminator 13">
          <a:extLst>
            <a:ext uri="{FF2B5EF4-FFF2-40B4-BE49-F238E27FC236}">
              <a16:creationId xmlns:a16="http://schemas.microsoft.com/office/drawing/2014/main" id="{E4F39A00-BEF1-4A64-A618-74E2B8EC637D}"/>
            </a:ext>
          </a:extLst>
        </xdr:cNvPr>
        <xdr:cNvSpPr/>
      </xdr:nvSpPr>
      <xdr:spPr>
        <a:xfrm>
          <a:off x="6596062" y="166687"/>
          <a:ext cx="1285875" cy="535781"/>
        </a:xfrm>
        <a:prstGeom prst="flowChartTerminator">
          <a:avLst/>
        </a:prstGeom>
        <a:no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soft" dir="t">
              <a:rot lat="0" lon="0" rev="15600000"/>
            </a:lightRig>
          </a:scene3d>
          <a:sp3d extrusionH="57150" prstMaterial="softEdge">
            <a:bevelT w="25400" h="38100"/>
          </a:sp3d>
        </a:bodyPr>
        <a:lstStyle/>
        <a:p>
          <a:pPr algn="ctr"/>
          <a:fld id="{1CBF0946-4B56-43C6-AFB6-C5A8DF1769F6}" type="TxLink">
            <a:rPr lang="en-US" sz="3200" b="0" i="0" u="none" strike="noStrike" cap="none" spc="0">
              <a:ln/>
              <a:solidFill>
                <a:schemeClr val="bg1"/>
              </a:solidFill>
              <a:effectLst/>
              <a:latin typeface="Arial Black" panose="020B0A04020102020204" pitchFamily="34" charset="0"/>
              <a:cs typeface="Calibri"/>
            </a:rPr>
            <a:pPr algn="ctr"/>
            <a:t>58</a:t>
          </a:fld>
          <a:endParaRPr lang="en-IN" sz="9600" b="1" u="sng" cap="none" spc="0">
            <a:ln/>
            <a:solidFill>
              <a:schemeClr val="bg1"/>
            </a:solidFill>
            <a:effectLst/>
            <a:latin typeface="Arial Black" panose="020B0A04020102020204" pitchFamily="34" charset="0"/>
          </a:endParaRPr>
        </a:p>
      </xdr:txBody>
    </xdr:sp>
    <xdr:clientData/>
  </xdr:twoCellAnchor>
  <xdr:twoCellAnchor>
    <xdr:from>
      <xdr:col>15</xdr:col>
      <xdr:colOff>152400</xdr:colOff>
      <xdr:row>0</xdr:row>
      <xdr:rowOff>152399</xdr:rowOff>
    </xdr:from>
    <xdr:to>
      <xdr:col>17</xdr:col>
      <xdr:colOff>223837</xdr:colOff>
      <xdr:row>0</xdr:row>
      <xdr:rowOff>688180</xdr:rowOff>
    </xdr:to>
    <xdr:sp macro="" textlink="kpi!B2">
      <xdr:nvSpPr>
        <xdr:cNvPr id="15" name="Flowchart: Terminator 14">
          <a:extLst>
            <a:ext uri="{FF2B5EF4-FFF2-40B4-BE49-F238E27FC236}">
              <a16:creationId xmlns:a16="http://schemas.microsoft.com/office/drawing/2014/main" id="{21FE716B-7BB8-4A83-9C56-94F27DE38AD1}"/>
            </a:ext>
          </a:extLst>
        </xdr:cNvPr>
        <xdr:cNvSpPr/>
      </xdr:nvSpPr>
      <xdr:spPr>
        <a:xfrm>
          <a:off x="9260681" y="152399"/>
          <a:ext cx="1285875" cy="535781"/>
        </a:xfrm>
        <a:prstGeom prst="flowChartTerminator">
          <a:avLst/>
        </a:prstGeom>
        <a:no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soft" dir="t">
              <a:rot lat="0" lon="0" rev="15600000"/>
            </a:lightRig>
          </a:scene3d>
          <a:sp3d extrusionH="57150" prstMaterial="softEdge">
            <a:bevelT w="25400" h="38100"/>
          </a:sp3d>
        </a:bodyPr>
        <a:lstStyle/>
        <a:p>
          <a:pPr algn="ctr"/>
          <a:fld id="{3D3EC9FE-8EC9-4D6A-882C-3F21C07AC036}" type="TxLink">
            <a:rPr lang="en-US" sz="3200" b="0" i="0" u="none" strike="noStrike" cap="none" spc="0">
              <a:ln/>
              <a:solidFill>
                <a:schemeClr val="bg1"/>
              </a:solidFill>
              <a:effectLst/>
              <a:latin typeface="Arial Black" panose="020B0A04020102020204" pitchFamily="34" charset="0"/>
              <a:cs typeface="Calibri"/>
            </a:rPr>
            <a:pPr algn="ctr"/>
            <a:t>10</a:t>
          </a:fld>
          <a:endParaRPr lang="en-IN" sz="34400" b="1" u="sng" cap="none" spc="0">
            <a:ln/>
            <a:solidFill>
              <a:schemeClr val="bg1"/>
            </a:solidFill>
            <a:effectLst/>
            <a:latin typeface="Arial Black" panose="020B0A04020102020204" pitchFamily="34" charset="0"/>
          </a:endParaRPr>
        </a:p>
      </xdr:txBody>
    </xdr:sp>
    <xdr:clientData/>
  </xdr:twoCellAnchor>
  <xdr:twoCellAnchor>
    <xdr:from>
      <xdr:col>0</xdr:col>
      <xdr:colOff>182335</xdr:colOff>
      <xdr:row>21</xdr:row>
      <xdr:rowOff>39120</xdr:rowOff>
    </xdr:from>
    <xdr:to>
      <xdr:col>18</xdr:col>
      <xdr:colOff>421821</xdr:colOff>
      <xdr:row>29</xdr:row>
      <xdr:rowOff>54429</xdr:rowOff>
    </xdr:to>
    <xdr:sp macro="" textlink="">
      <xdr:nvSpPr>
        <xdr:cNvPr id="16" name="Flowchart: Terminator 15">
          <a:extLst>
            <a:ext uri="{FF2B5EF4-FFF2-40B4-BE49-F238E27FC236}">
              <a16:creationId xmlns:a16="http://schemas.microsoft.com/office/drawing/2014/main" id="{06DFDE47-212D-4F37-91B3-43A51479364E}"/>
            </a:ext>
          </a:extLst>
        </xdr:cNvPr>
        <xdr:cNvSpPr/>
      </xdr:nvSpPr>
      <xdr:spPr>
        <a:xfrm>
          <a:off x="182335" y="4815227"/>
          <a:ext cx="11261272" cy="1539309"/>
        </a:xfrm>
        <a:prstGeom prst="flowChartTerminator">
          <a:avLst/>
        </a:prstGeom>
        <a:solidFill>
          <a:schemeClr val="accent2">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IN" sz="2000" b="1">
            <a:solidFill>
              <a:schemeClr val="bg1"/>
            </a:solidFill>
            <a:effectLst/>
            <a:latin typeface="Arial Black" panose="020B0A040201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IN" sz="1400">
            <a:effectLst/>
            <a:latin typeface="Arial Black" panose="020B0A04020102020204" pitchFamily="34" charset="0"/>
          </a:endParaRPr>
        </a:p>
        <a:p>
          <a:pPr algn="l"/>
          <a:endParaRPr lang="en-IN" sz="1100"/>
        </a:p>
      </xdr:txBody>
    </xdr:sp>
    <xdr:clientData/>
  </xdr:twoCellAnchor>
  <xdr:oneCellAnchor>
    <xdr:from>
      <xdr:col>1</xdr:col>
      <xdr:colOff>244929</xdr:colOff>
      <xdr:row>22</xdr:row>
      <xdr:rowOff>81643</xdr:rowOff>
    </xdr:from>
    <xdr:ext cx="9919190" cy="1132682"/>
    <xdr:sp macro="" textlink="">
      <xdr:nvSpPr>
        <xdr:cNvPr id="17" name="TextBox 16">
          <a:extLst>
            <a:ext uri="{FF2B5EF4-FFF2-40B4-BE49-F238E27FC236}">
              <a16:creationId xmlns:a16="http://schemas.microsoft.com/office/drawing/2014/main" id="{82456F26-DA3E-C06F-8A4F-FEFCC0B08389}"/>
            </a:ext>
          </a:extLst>
        </xdr:cNvPr>
        <xdr:cNvSpPr txBox="1"/>
      </xdr:nvSpPr>
      <xdr:spPr>
        <a:xfrm>
          <a:off x="857250" y="5048250"/>
          <a:ext cx="9919190" cy="11326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solidFill>
                <a:schemeClr val="bg1"/>
              </a:solidFill>
              <a:effectLst/>
              <a:latin typeface="Arial Black" panose="020B0A04020102020204" pitchFamily="34" charset="0"/>
              <a:ea typeface="+mn-ea"/>
              <a:cs typeface="+mn-cs"/>
            </a:rPr>
            <a:t>Key Insights: </a:t>
          </a:r>
          <a:endParaRPr lang="en-IN" sz="1600">
            <a:solidFill>
              <a:schemeClr val="bg1"/>
            </a:solidFill>
            <a:effectLst/>
            <a:latin typeface="Arial Black" panose="020B0A04020102020204" pitchFamily="34" charset="0"/>
          </a:endParaRPr>
        </a:p>
        <a:p>
          <a:r>
            <a:rPr lang="en-IN" sz="1600">
              <a:solidFill>
                <a:schemeClr val="bg1"/>
              </a:solidFill>
              <a:effectLst/>
              <a:latin typeface="Arial Black" panose="020B0A04020102020204" pitchFamily="34" charset="0"/>
              <a:ea typeface="+mn-ea"/>
              <a:cs typeface="+mn-cs"/>
            </a:rPr>
            <a:t>Each city has 1–2 dominant restaurants — useful for targeted promotions.</a:t>
          </a:r>
          <a:endParaRPr lang="en-IN" sz="1600">
            <a:solidFill>
              <a:schemeClr val="bg1"/>
            </a:solidFill>
            <a:effectLst/>
            <a:latin typeface="Arial Black" panose="020B0A04020102020204" pitchFamily="34" charset="0"/>
          </a:endParaRPr>
        </a:p>
        <a:p>
          <a:r>
            <a:rPr lang="en-IN" sz="1600">
              <a:solidFill>
                <a:schemeClr val="bg1"/>
              </a:solidFill>
              <a:effectLst/>
              <a:latin typeface="Arial Black" panose="020B0A04020102020204" pitchFamily="34" charset="0"/>
              <a:ea typeface="+mn-ea"/>
              <a:cs typeface="+mn-cs"/>
            </a:rPr>
            <a:t>Standardizing charges could improve customer satisfaction, as variation is noticeable.</a:t>
          </a:r>
          <a:endParaRPr lang="en-IN" sz="1600">
            <a:solidFill>
              <a:schemeClr val="bg1"/>
            </a:solidFill>
            <a:effectLst/>
            <a:latin typeface="Arial Black" panose="020B0A04020102020204" pitchFamily="34" charset="0"/>
          </a:endParaRPr>
        </a:p>
        <a:p>
          <a:endParaRPr lang="en-IN" sz="1100"/>
        </a:p>
      </xdr:txBody>
    </xdr:sp>
    <xdr:clientData/>
  </xdr:oneCellAnchor>
  <xdr:twoCellAnchor>
    <xdr:from>
      <xdr:col>16</xdr:col>
      <xdr:colOff>369093</xdr:colOff>
      <xdr:row>0</xdr:row>
      <xdr:rowOff>95249</xdr:rowOff>
    </xdr:from>
    <xdr:to>
      <xdr:col>18</xdr:col>
      <xdr:colOff>119061</xdr:colOff>
      <xdr:row>0</xdr:row>
      <xdr:rowOff>833437</xdr:rowOff>
    </xdr:to>
    <xdr:sp macro="" textlink="">
      <xdr:nvSpPr>
        <xdr:cNvPr id="12" name="Flowchart: Terminator 11">
          <a:extLst>
            <a:ext uri="{FF2B5EF4-FFF2-40B4-BE49-F238E27FC236}">
              <a16:creationId xmlns:a16="http://schemas.microsoft.com/office/drawing/2014/main" id="{BBB1F152-7155-4706-8CDC-5D9C5081C8BB}"/>
            </a:ext>
          </a:extLst>
        </xdr:cNvPr>
        <xdr:cNvSpPr/>
      </xdr:nvSpPr>
      <xdr:spPr>
        <a:xfrm>
          <a:off x="10084593" y="95249"/>
          <a:ext cx="964406" cy="738188"/>
        </a:xfrm>
        <a:prstGeom prst="flowChartTerminator">
          <a:avLst/>
        </a:prstGeom>
        <a:noFill/>
        <a:ln>
          <a:noFill/>
        </a:ln>
        <a:effectLst>
          <a:outerShdw blurRad="107950" dist="12700" dir="5400000" algn="ctr">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2000" b="1">
              <a:solidFill>
                <a:schemeClr val="bg1"/>
              </a:solidFill>
              <a:effectLst/>
              <a:latin typeface="Arial Black" panose="020B0A04020102020204" pitchFamily="34" charset="0"/>
            </a:rPr>
            <a:t>Mins</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3.503452893521" createdVersion="8" refreshedVersion="8" minRefreshableVersion="3" recordCount="58" xr:uid="{7646AC34-341B-4CFF-A491-918E6502ECA0}">
  <cacheSource type="worksheet">
    <worksheetSource name="Restaurant_Details3"/>
  </cacheSource>
  <cacheFields count="12">
    <cacheField name="OrderID" numFmtId="0">
      <sharedItems containsSemiMixedTypes="0" containsString="0" containsNumber="1" containsInteger="1" minValue="4001" maxValue="4060"/>
    </cacheField>
    <cacheField name="RestaurantID" numFmtId="0">
      <sharedItems/>
    </cacheField>
    <cacheField name="Restaurant Name" numFmtId="0">
      <sharedItems count="10">
        <s v="Spice Villa"/>
        <s v="Pasta Paradise"/>
        <s v="Curry Junction"/>
        <s v="Dragon Wok"/>
        <s v="Bamboo Garden"/>
        <s v="Masala-e-Magic"/>
        <s v="Noodle Nest"/>
        <s v="Pizza Fiesta"/>
        <s v="Tandoori Tales"/>
        <s v="Bella Italia"/>
      </sharedItems>
    </cacheField>
    <cacheField name="Customer" numFmtId="0">
      <sharedItems/>
    </cacheField>
    <cacheField name="Cuisine" numFmtId="0">
      <sharedItems/>
    </cacheField>
    <cacheField name="City" numFmtId="0">
      <sharedItems count="12">
        <s v="Ahmedabad"/>
        <s v="Bengaluru"/>
        <s v="Chennai"/>
        <s v="Delhi"/>
        <s v="Hyderabad"/>
        <s v="Jaipur"/>
        <s v="Kolkata"/>
        <s v="Mumbai"/>
        <s v="Pune"/>
        <s v="Surat"/>
        <s v="Formula1" f="1"/>
        <s v="Formula2" f="1"/>
      </sharedItems>
    </cacheField>
    <cacheField name="OrderAmount" numFmtId="164">
      <sharedItems containsSemiMixedTypes="0" containsString="0" containsNumber="1" containsInteger="1" minValue="180" maxValue="500"/>
    </cacheField>
    <cacheField name="Delivery charge" numFmtId="44">
      <sharedItems containsSemiMixedTypes="0" containsString="0" containsNumber="1" containsInteger="1" minValue="30" maxValue="70"/>
    </cacheField>
    <cacheField name="Delivery time(mins)" numFmtId="0">
      <sharedItems containsSemiMixedTypes="0" containsString="0" containsNumber="1" containsInteger="1" minValue="10" maxValue="20"/>
    </cacheField>
    <cacheField name="OrderDate" numFmtId="14">
      <sharedItems containsSemiMixedTypes="0" containsNonDate="0" containsDate="1" containsString="0" minDate="2026-01-05T00:00:00" maxDate="2027-01-01T00:00:00"/>
    </cacheField>
    <cacheField name="Day name" numFmtId="15">
      <sharedItems/>
    </cacheField>
    <cacheField name="Delivery Partner" numFmtId="0">
      <sharedItems/>
    </cacheField>
  </cacheFields>
  <calculatedItems count="2">
    <calculatedItem>
      <pivotArea cacheIndex="1" outline="0" fieldPosition="0">
        <references count="1">
          <reference field="5" count="1">
            <x v="10"/>
          </reference>
        </references>
      </pivotArea>
    </calculatedItem>
    <calculatedItem>
      <pivotArea cacheIndex="1" outline="0" fieldPosition="0">
        <references count="1">
          <reference field="5" count="1">
            <x v="11"/>
          </reference>
        </references>
      </pivotArea>
    </calculatedItem>
  </calculatedItems>
  <extLst>
    <ext xmlns:x14="http://schemas.microsoft.com/office/spreadsheetml/2009/9/main" uri="{725AE2AE-9491-48be-B2B4-4EB974FC3084}">
      <x14:pivotCacheDefinition pivotCacheId="20208753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n v="4001"/>
    <s v="R001"/>
    <x v="0"/>
    <s v="Asha"/>
    <s v="Indian"/>
    <x v="0"/>
    <n v="250"/>
    <n v="50"/>
    <n v="10"/>
    <d v="2026-01-05T00:00:00"/>
    <s v="Monday"/>
    <s v="Swiggy"/>
  </r>
  <r>
    <n v="4003"/>
    <s v="R003"/>
    <x v="1"/>
    <s v="Priya"/>
    <s v="Italian"/>
    <x v="0"/>
    <n v="450"/>
    <n v="30"/>
    <n v="15"/>
    <d v="2026-01-20T00:00:00"/>
    <s v="Tuesday"/>
    <s v="Unassigned"/>
  </r>
  <r>
    <n v="4012"/>
    <s v="R001"/>
    <x v="0"/>
    <s v="Isha"/>
    <s v="Indian"/>
    <x v="0"/>
    <n v="240"/>
    <n v="30"/>
    <n v="15"/>
    <d v="2026-03-27T00:00:00"/>
    <s v="Friday"/>
    <s v="Unassigned"/>
  </r>
  <r>
    <n v="4014"/>
    <s v="R003"/>
    <x v="1"/>
    <s v="Manav"/>
    <s v="Italian"/>
    <x v="0"/>
    <n v="480"/>
    <n v="70"/>
    <n v="20"/>
    <d v="2026-04-12T00:00:00"/>
    <s v="Sunday"/>
    <s v="Zomato"/>
  </r>
  <r>
    <n v="4022"/>
    <s v="R001"/>
    <x v="0"/>
    <s v="Aditya"/>
    <s v="Indian"/>
    <x v="0"/>
    <n v="310"/>
    <n v="50"/>
    <n v="10"/>
    <d v="2026-06-15T00:00:00"/>
    <s v="Monday"/>
    <s v="Swiggy"/>
  </r>
  <r>
    <n v="4024"/>
    <s v="R003"/>
    <x v="1"/>
    <s v="Vivek"/>
    <s v="Italian"/>
    <x v="0"/>
    <n v="260"/>
    <n v="30"/>
    <n v="15"/>
    <d v="2026-07-01T00:00:00"/>
    <s v="Wednesday"/>
    <s v="Unassigned"/>
  </r>
  <r>
    <n v="4033"/>
    <s v="R001"/>
    <x v="0"/>
    <s v="Harsh"/>
    <s v="Indian"/>
    <x v="0"/>
    <n v="310"/>
    <n v="30"/>
    <n v="15"/>
    <d v="2026-09-11T00:00:00"/>
    <s v="Friday"/>
    <s v="Unassigned"/>
  </r>
  <r>
    <n v="4043"/>
    <s v="R001"/>
    <x v="0"/>
    <s v="Ishaan"/>
    <s v="Chinese"/>
    <x v="0"/>
    <n v="490"/>
    <n v="50"/>
    <n v="10"/>
    <d v="2026-11-30T00:00:00"/>
    <s v="Monday"/>
    <s v="Swiggy"/>
  </r>
  <r>
    <n v="4053"/>
    <s v="R001"/>
    <x v="0"/>
    <s v="Kabir"/>
    <s v="Italian"/>
    <x v="0"/>
    <n v="450"/>
    <n v="70"/>
    <n v="20"/>
    <d v="2026-03-12T00:00:00"/>
    <s v="Thursday"/>
    <s v="Zomato"/>
  </r>
  <r>
    <n v="4004"/>
    <s v="R004"/>
    <x v="2"/>
    <s v="Sneha"/>
    <s v="Indian"/>
    <x v="1"/>
    <n v="290"/>
    <n v="50"/>
    <n v="10"/>
    <d v="2026-01-28T00:00:00"/>
    <s v="Wednesday"/>
    <s v="Swiggy"/>
  </r>
  <r>
    <n v="4009"/>
    <s v="R008"/>
    <x v="3"/>
    <s v="Neha"/>
    <s v="Italian"/>
    <x v="1"/>
    <n v="410"/>
    <n v="30"/>
    <n v="15"/>
    <d v="2026-03-03T00:00:00"/>
    <s v="Tuesday"/>
    <s v="Unassigned"/>
  </r>
  <r>
    <n v="4015"/>
    <s v="R004"/>
    <x v="2"/>
    <s v="Tanya"/>
    <s v="Indian"/>
    <x v="1"/>
    <n v="460"/>
    <n v="30"/>
    <n v="15"/>
    <d v="2026-04-20T00:00:00"/>
    <s v="Monday"/>
    <s v="Unassigned"/>
  </r>
  <r>
    <n v="4016"/>
    <s v="R005"/>
    <x v="4"/>
    <s v="Varun"/>
    <s v="Indian"/>
    <x v="1"/>
    <n v="260"/>
    <n v="50"/>
    <n v="10"/>
    <d v="2026-04-28T00:00:00"/>
    <s v="Tuesday"/>
    <s v="Swiggy"/>
  </r>
  <r>
    <n v="4021"/>
    <s v="R010"/>
    <x v="5"/>
    <s v="Simran"/>
    <s v="Italian"/>
    <x v="1"/>
    <n v="230"/>
    <n v="30"/>
    <n v="15"/>
    <d v="2026-06-07T00:00:00"/>
    <s v="Sunday"/>
    <s v="Unassigned"/>
  </r>
  <r>
    <n v="4027"/>
    <s v="R004"/>
    <x v="2"/>
    <s v="Meera"/>
    <s v="Indian"/>
    <x v="1"/>
    <n v="220"/>
    <n v="30"/>
    <n v="15"/>
    <d v="2026-07-25T00:00:00"/>
    <s v="Saturday"/>
    <s v="Unassigned"/>
  </r>
  <r>
    <n v="4036"/>
    <s v="R004"/>
    <x v="2"/>
    <s v="Kriti"/>
    <s v="Indian"/>
    <x v="1"/>
    <n v="290"/>
    <n v="30"/>
    <n v="15"/>
    <d v="2026-10-05T00:00:00"/>
    <s v="Monday"/>
    <s v="Unassigned"/>
  </r>
  <r>
    <n v="4046"/>
    <s v="R004"/>
    <x v="2"/>
    <s v="Shreya"/>
    <s v="Chinese"/>
    <x v="1"/>
    <n v="450"/>
    <n v="50"/>
    <n v="10"/>
    <d v="2026-12-24T00:00:00"/>
    <s v="Thursday"/>
    <s v="Swiggy"/>
  </r>
  <r>
    <n v="4056"/>
    <s v="R004"/>
    <x v="2"/>
    <s v="Arya"/>
    <s v="Italian"/>
    <x v="1"/>
    <n v="490"/>
    <n v="70"/>
    <n v="20"/>
    <d v="2026-06-19T00:00:00"/>
    <s v="Friday"/>
    <s v="Zomato"/>
  </r>
  <r>
    <n v="4005"/>
    <s v="R005"/>
    <x v="4"/>
    <s v="Arjun"/>
    <s v="Chinese"/>
    <x v="2"/>
    <n v="500"/>
    <n v="70"/>
    <n v="20"/>
    <d v="2026-02-02T00:00:00"/>
    <s v="Monday"/>
    <s v="Zomato"/>
  </r>
  <r>
    <n v="4026"/>
    <s v="R005"/>
    <x v="4"/>
    <s v="Aman"/>
    <s v="Chinese"/>
    <x v="2"/>
    <n v="490"/>
    <n v="70"/>
    <n v="20"/>
    <d v="2026-07-17T00:00:00"/>
    <s v="Friday"/>
    <s v="Zomato"/>
  </r>
  <r>
    <n v="4034"/>
    <s v="R002"/>
    <x v="3"/>
    <s v="Anjali"/>
    <s v="Chinese"/>
    <x v="2"/>
    <n v="430"/>
    <n v="50"/>
    <n v="10"/>
    <d v="2026-09-19T00:00:00"/>
    <s v="Saturday"/>
    <s v="Swiggy"/>
  </r>
  <r>
    <n v="4037"/>
    <s v="R005"/>
    <x v="4"/>
    <s v="Arnav"/>
    <s v="Chinese"/>
    <x v="2"/>
    <n v="480"/>
    <n v="50"/>
    <n v="10"/>
    <d v="2026-10-13T00:00:00"/>
    <s v="Tuesday"/>
    <s v="Swiggy"/>
  </r>
  <r>
    <n v="4044"/>
    <s v="R002"/>
    <x v="6"/>
    <s v="Gauri"/>
    <s v="Italian"/>
    <x v="2"/>
    <n v="260"/>
    <n v="70"/>
    <n v="20"/>
    <d v="2026-12-08T00:00:00"/>
    <s v="Tuesday"/>
    <s v="Zomato"/>
  </r>
  <r>
    <n v="4047"/>
    <s v="R005"/>
    <x v="4"/>
    <s v="Tarun"/>
    <s v="Italian"/>
    <x v="2"/>
    <n v="280"/>
    <n v="70"/>
    <n v="20"/>
    <d v="2026-12-28T00:00:00"/>
    <s v="Monday"/>
    <s v="Zomato"/>
  </r>
  <r>
    <n v="4057"/>
    <s v="R005"/>
    <x v="4"/>
    <s v="Nitin"/>
    <s v="Indian"/>
    <x v="2"/>
    <n v="240"/>
    <n v="30"/>
    <n v="15"/>
    <d v="2026-07-07T00:00:00"/>
    <s v="Tuesday"/>
    <s v="Unassigned"/>
  </r>
  <r>
    <n v="4035"/>
    <s v="R003"/>
    <x v="1"/>
    <s v="Yash"/>
    <s v="Italian"/>
    <x v="3"/>
    <n v="270"/>
    <n v="70"/>
    <n v="20"/>
    <d v="2026-09-27T00:00:00"/>
    <s v="Sunday"/>
    <s v="Zomato"/>
  </r>
  <r>
    <n v="4045"/>
    <s v="R003"/>
    <x v="1"/>
    <s v="Kunal"/>
    <s v="Indian"/>
    <x v="3"/>
    <n v="340"/>
    <n v="30"/>
    <n v="15"/>
    <d v="2026-12-16T00:00:00"/>
    <s v="Wednesday"/>
    <s v="Unassigned"/>
  </r>
  <r>
    <n v="4055"/>
    <s v="R003"/>
    <x v="1"/>
    <s v="Leena"/>
    <s v="Chinese"/>
    <x v="3"/>
    <n v="330"/>
    <n v="50"/>
    <n v="10"/>
    <d v="2026-05-14T00:00:00"/>
    <s v="Thursday"/>
    <s v="Swiggy"/>
  </r>
  <r>
    <n v="4006"/>
    <s v="R006"/>
    <x v="7"/>
    <s v="Dev"/>
    <s v="Chinese"/>
    <x v="4"/>
    <n v="310"/>
    <n v="50"/>
    <n v="10"/>
    <d v="2026-02-18T00:00:00"/>
    <s v="Wednesday"/>
    <s v="Swiggy"/>
  </r>
  <r>
    <n v="4028"/>
    <s v="R006"/>
    <x v="5"/>
    <s v="Deepak"/>
    <s v="Chinese"/>
    <x v="4"/>
    <n v="300"/>
    <n v="50"/>
    <n v="10"/>
    <d v="2026-08-02T00:00:00"/>
    <s v="Sunday"/>
    <s v="Swiggy"/>
  </r>
  <r>
    <n v="4038"/>
    <s v="R006"/>
    <x v="7"/>
    <s v="Bhavna"/>
    <s v="Italian"/>
    <x v="4"/>
    <n v="240"/>
    <n v="70"/>
    <n v="20"/>
    <d v="2026-10-21T00:00:00"/>
    <s v="Wednesday"/>
    <s v="Zomato"/>
  </r>
  <r>
    <n v="4048"/>
    <s v="R006"/>
    <x v="7"/>
    <s v="Lavanya"/>
    <s v="Indian"/>
    <x v="4"/>
    <n v="310"/>
    <n v="30"/>
    <n v="15"/>
    <d v="2026-12-29T00:00:00"/>
    <s v="Tuesday"/>
    <s v="Unassigned"/>
  </r>
  <r>
    <n v="4049"/>
    <s v="R007"/>
    <x v="8"/>
    <s v="Omkar"/>
    <s v="Chinese"/>
    <x v="4"/>
    <n v="430"/>
    <n v="50"/>
    <n v="10"/>
    <d v="2026-12-30T00:00:00"/>
    <s v="Wednesday"/>
    <s v="Swiggy"/>
  </r>
  <r>
    <n v="4058"/>
    <s v="R006"/>
    <x v="7"/>
    <s v="Priti"/>
    <s v="Chinese"/>
    <x v="4"/>
    <n v="300"/>
    <n v="50"/>
    <n v="10"/>
    <d v="2026-08-11T00:00:00"/>
    <s v="Tuesday"/>
    <s v="Swiggy"/>
  </r>
  <r>
    <n v="4059"/>
    <s v="R007"/>
    <x v="8"/>
    <s v="Soham"/>
    <s v="Italian"/>
    <x v="4"/>
    <n v="470"/>
    <n v="70"/>
    <n v="20"/>
    <d v="2026-09-21T00:00:00"/>
    <s v="Monday"/>
    <s v="Zomato"/>
  </r>
  <r>
    <n v="4010"/>
    <s v="R009"/>
    <x v="4"/>
    <s v="Rahul"/>
    <s v="Indian"/>
    <x v="5"/>
    <n v="270"/>
    <n v="50"/>
    <n v="10"/>
    <d v="2026-03-11T00:00:00"/>
    <s v="Wednesday"/>
    <s v="Swiggy"/>
  </r>
  <r>
    <n v="4020"/>
    <s v="R009"/>
    <x v="4"/>
    <s v="Mohit"/>
    <s v="Chinese"/>
    <x v="5"/>
    <n v="470"/>
    <n v="70"/>
    <n v="20"/>
    <d v="2026-05-30T00:00:00"/>
    <s v="Saturday"/>
    <s v="Zomato"/>
  </r>
  <r>
    <n v="4031"/>
    <s v="R009"/>
    <x v="4"/>
    <s v="Rohit"/>
    <s v="Chinese"/>
    <x v="5"/>
    <n v="460"/>
    <n v="50"/>
    <n v="10"/>
    <d v="2026-08-26T00:00:00"/>
    <s v="Wednesday"/>
    <s v="Swiggy"/>
  </r>
  <r>
    <n v="4041"/>
    <s v="R009"/>
    <x v="9"/>
    <s v="Parth"/>
    <s v="Italian"/>
    <x v="5"/>
    <n v="210"/>
    <n v="70"/>
    <n v="20"/>
    <d v="2026-11-14T00:00:00"/>
    <s v="Saturday"/>
    <s v="Zomato"/>
  </r>
  <r>
    <n v="4051"/>
    <s v="R009"/>
    <x v="9"/>
    <s v="Milan"/>
    <s v="Indian"/>
    <x v="5"/>
    <n v="220"/>
    <n v="30"/>
    <n v="15"/>
    <d v="2026-01-15T00:00:00"/>
    <s v="Thursday"/>
    <s v="Unassigned"/>
  </r>
  <r>
    <n v="4019"/>
    <s v="R008"/>
    <x v="3"/>
    <s v="Riya"/>
    <s v="Indian"/>
    <x v="6"/>
    <n v="280"/>
    <n v="50"/>
    <n v="10"/>
    <d v="2026-05-22T00:00:00"/>
    <s v="Friday"/>
    <s v="Swiggy"/>
  </r>
  <r>
    <n v="4030"/>
    <s v="R008"/>
    <x v="3"/>
    <s v="Sanjay"/>
    <s v="Indian"/>
    <x v="6"/>
    <n v="280"/>
    <n v="30"/>
    <n v="15"/>
    <d v="2026-08-18T00:00:00"/>
    <s v="Tuesday"/>
    <s v="Unassigned"/>
  </r>
  <r>
    <n v="4040"/>
    <s v="R008"/>
    <x v="6"/>
    <s v="Snehal"/>
    <s v="Chinese"/>
    <x v="6"/>
    <n v="470"/>
    <n v="50"/>
    <n v="10"/>
    <d v="2026-11-06T00:00:00"/>
    <s v="Friday"/>
    <s v="Swiggy"/>
  </r>
  <r>
    <n v="4050"/>
    <s v="R008"/>
    <x v="6"/>
    <s v="Payal"/>
    <s v="Italian"/>
    <x v="6"/>
    <n v="270"/>
    <n v="70"/>
    <n v="20"/>
    <d v="2026-12-31T00:00:00"/>
    <s v="Thursday"/>
    <s v="Zomato"/>
  </r>
  <r>
    <n v="4060"/>
    <s v="R008"/>
    <x v="6"/>
    <s v="Charu"/>
    <s v="Indian"/>
    <x v="6"/>
    <n v="260"/>
    <n v="30"/>
    <n v="15"/>
    <d v="2026-10-05T00:00:00"/>
    <s v="Monday"/>
    <s v="Unassigned"/>
  </r>
  <r>
    <n v="4002"/>
    <s v="R002"/>
    <x v="3"/>
    <s v="Rohan"/>
    <s v="Chinese"/>
    <x v="7"/>
    <n v="320"/>
    <n v="70"/>
    <n v="20"/>
    <d v="2026-01-12T00:00:00"/>
    <s v="Monday"/>
    <s v="Zomato"/>
  </r>
  <r>
    <n v="4013"/>
    <s v="R002"/>
    <x v="3"/>
    <s v="Pooja"/>
    <s v="Chinese"/>
    <x v="7"/>
    <n v="350"/>
    <n v="50"/>
    <n v="10"/>
    <d v="2026-04-04T00:00:00"/>
    <s v="Saturday"/>
    <s v="Swiggy"/>
  </r>
  <r>
    <n v="4023"/>
    <s v="R002"/>
    <x v="3"/>
    <s v="Nisha"/>
    <s v="Chinese"/>
    <x v="7"/>
    <n v="440"/>
    <n v="70"/>
    <n v="20"/>
    <d v="2026-06-23T00:00:00"/>
    <s v="Tuesday"/>
    <s v="Zomato"/>
  </r>
  <r>
    <n v="4054"/>
    <s v="R002"/>
    <x v="3"/>
    <s v="Suresh"/>
    <s v="Indian"/>
    <x v="7"/>
    <n v="280"/>
    <n v="30"/>
    <n v="15"/>
    <d v="2026-04-25T00:00:00"/>
    <s v="Saturday"/>
    <s v="Unassigned"/>
  </r>
  <r>
    <n v="4008"/>
    <s v="R007"/>
    <x v="8"/>
    <s v="Mehul"/>
    <s v="Indian"/>
    <x v="8"/>
    <n v="180"/>
    <n v="70"/>
    <n v="20"/>
    <d v="2026-02-25T00:00:00"/>
    <s v="Wednesday"/>
    <s v="Zomato"/>
  </r>
  <r>
    <n v="4017"/>
    <s v="R006"/>
    <x v="5"/>
    <s v="Aarav"/>
    <s v="Chinese"/>
    <x v="8"/>
    <n v="420"/>
    <n v="70"/>
    <n v="20"/>
    <d v="2026-05-06T00:00:00"/>
    <s v="Wednesday"/>
    <s v="Zomato"/>
  </r>
  <r>
    <n v="4018"/>
    <s v="R007"/>
    <x v="8"/>
    <s v="Karan"/>
    <s v="Italian"/>
    <x v="8"/>
    <n v="210"/>
    <n v="30"/>
    <n v="15"/>
    <d v="2026-05-14T00:00:00"/>
    <s v="Thursday"/>
    <s v="Unassigned"/>
  </r>
  <r>
    <n v="4029"/>
    <s v="R007"/>
    <x v="8"/>
    <s v="Alia"/>
    <s v="Italian"/>
    <x v="8"/>
    <n v="450"/>
    <n v="70"/>
    <n v="20"/>
    <d v="2026-08-10T00:00:00"/>
    <s v="Monday"/>
    <s v="Zomato"/>
  </r>
  <r>
    <n v="4039"/>
    <s v="R007"/>
    <x v="8"/>
    <s v="Dhruv"/>
    <s v="Indian"/>
    <x v="8"/>
    <n v="330"/>
    <n v="30"/>
    <n v="15"/>
    <d v="2026-10-29T00:00:00"/>
    <s v="Thursday"/>
    <s v="Unassigned"/>
  </r>
  <r>
    <n v="4011"/>
    <s v="R010"/>
    <x v="0"/>
    <s v="Ananya"/>
    <s v="Chinese"/>
    <x v="9"/>
    <n v="330"/>
    <n v="70"/>
    <n v="20"/>
    <d v="2026-03-19T00:00:00"/>
    <s v="Thursday"/>
    <s v="Zomato"/>
  </r>
  <r>
    <n v="4032"/>
    <s v="R010"/>
    <x v="5"/>
    <s v="Sanya"/>
    <s v="Italian"/>
    <x v="9"/>
    <n v="250"/>
    <n v="70"/>
    <n v="20"/>
    <d v="2026-09-03T00:00:00"/>
    <s v="Thursday"/>
    <s v="Zomato"/>
  </r>
  <r>
    <n v="4042"/>
    <s v="R010"/>
    <x v="7"/>
    <s v="Rachna"/>
    <s v="Indian"/>
    <x v="9"/>
    <n v="300"/>
    <n v="30"/>
    <n v="15"/>
    <d v="2026-11-22T00:00:00"/>
    <s v="Sunday"/>
    <s v="Unassigned"/>
  </r>
  <r>
    <n v="4052"/>
    <s v="R010"/>
    <x v="5"/>
    <s v="Ritu"/>
    <s v="Chinese"/>
    <x v="9"/>
    <n v="310"/>
    <n v="50"/>
    <n v="10"/>
    <d v="2026-02-22T00:00:00"/>
    <s v="Sunday"/>
    <s v="Swigg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466AF8-DDF1-4781-B6DF-9D2AFB191155}"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20:B23" firstHeaderRow="1" firstDataRow="1" firstDataCol="1"/>
  <pivotFields count="12">
    <pivotField dataField="1" showAll="0"/>
    <pivotField showAll="0"/>
    <pivotField axis="axisRow" showAll="0" measureFilter="1" sortType="ascending">
      <items count="11">
        <item x="4"/>
        <item x="9"/>
        <item x="2"/>
        <item x="3"/>
        <item x="5"/>
        <item x="6"/>
        <item x="1"/>
        <item x="7"/>
        <item x="0"/>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13">
        <item x="0"/>
        <item x="1"/>
        <item x="2"/>
        <item x="3"/>
        <item x="4"/>
        <item x="5"/>
        <item x="6"/>
        <item x="7"/>
        <item x="8"/>
        <item x="9"/>
        <item f="1" x="10"/>
        <item f="1" x="11"/>
        <item t="default"/>
      </items>
    </pivotField>
    <pivotField numFmtId="164" showAll="0"/>
    <pivotField numFmtId="44" showAll="0"/>
    <pivotField showAll="0"/>
    <pivotField numFmtId="14" showAll="0"/>
    <pivotField showAll="0"/>
    <pivotField showAll="0"/>
  </pivotFields>
  <rowFields count="1">
    <field x="2"/>
  </rowFields>
  <rowItems count="3">
    <i>
      <x v="8"/>
    </i>
    <i>
      <x v="3"/>
    </i>
    <i>
      <x/>
    </i>
  </rowItems>
  <colItems count="1">
    <i/>
  </colItems>
  <dataFields count="1">
    <dataField name="Count of OrderID" fld="0" subtotal="count" baseField="5" baseItem="0"/>
  </dataFields>
  <chartFormats count="17">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2" count="1" selected="0">
            <x v="0"/>
          </reference>
        </references>
      </pivotArea>
    </chartFormat>
    <chartFormat chart="14" format="14">
      <pivotArea type="data" outline="0" fieldPosition="0">
        <references count="2">
          <reference field="4294967294" count="1" selected="0">
            <x v="0"/>
          </reference>
          <reference field="2" count="1" selected="0">
            <x v="1"/>
          </reference>
        </references>
      </pivotArea>
    </chartFormat>
    <chartFormat chart="14" format="15">
      <pivotArea type="data" outline="0" fieldPosition="0">
        <references count="2">
          <reference field="4294967294" count="1" selected="0">
            <x v="0"/>
          </reference>
          <reference field="2" count="1" selected="0">
            <x v="2"/>
          </reference>
        </references>
      </pivotArea>
    </chartFormat>
    <chartFormat chart="14" format="16">
      <pivotArea type="data" outline="0" fieldPosition="0">
        <references count="2">
          <reference field="4294967294" count="1" selected="0">
            <x v="0"/>
          </reference>
          <reference field="2" count="1" selected="0">
            <x v="3"/>
          </reference>
        </references>
      </pivotArea>
    </chartFormat>
    <chartFormat chart="14" format="17">
      <pivotArea type="data" outline="0" fieldPosition="0">
        <references count="2">
          <reference field="4294967294" count="1" selected="0">
            <x v="0"/>
          </reference>
          <reference field="2" count="1" selected="0">
            <x v="4"/>
          </reference>
        </references>
      </pivotArea>
    </chartFormat>
    <chartFormat chart="14" format="18">
      <pivotArea type="data" outline="0" fieldPosition="0">
        <references count="2">
          <reference field="4294967294" count="1" selected="0">
            <x v="0"/>
          </reference>
          <reference field="2" count="1" selected="0">
            <x v="5"/>
          </reference>
        </references>
      </pivotArea>
    </chartFormat>
    <chartFormat chart="14" format="19">
      <pivotArea type="data" outline="0" fieldPosition="0">
        <references count="2">
          <reference field="4294967294" count="1" selected="0">
            <x v="0"/>
          </reference>
          <reference field="2" count="1" selected="0">
            <x v="6"/>
          </reference>
        </references>
      </pivotArea>
    </chartFormat>
    <chartFormat chart="14" format="20">
      <pivotArea type="data" outline="0" fieldPosition="0">
        <references count="2">
          <reference field="4294967294" count="1" selected="0">
            <x v="0"/>
          </reference>
          <reference field="2" count="1" selected="0">
            <x v="7"/>
          </reference>
        </references>
      </pivotArea>
    </chartFormat>
    <chartFormat chart="14" format="21">
      <pivotArea type="data" outline="0" fieldPosition="0">
        <references count="2">
          <reference field="4294967294" count="1" selected="0">
            <x v="0"/>
          </reference>
          <reference field="2" count="1" selected="0">
            <x v="8"/>
          </reference>
        </references>
      </pivotArea>
    </chartFormat>
    <chartFormat chart="14" format="22">
      <pivotArea type="data" outline="0" fieldPosition="0">
        <references count="2">
          <reference field="4294967294" count="1" selected="0">
            <x v="0"/>
          </reference>
          <reference field="2" count="1" selected="0">
            <x v="9"/>
          </reference>
        </references>
      </pivotArea>
    </chartFormat>
    <chartFormat chart="9" format="1">
      <pivotArea type="data" outline="0" fieldPosition="0">
        <references count="2">
          <reference field="4294967294" count="1" selected="0">
            <x v="0"/>
          </reference>
          <reference field="2" count="1" selected="0">
            <x v="8"/>
          </reference>
        </references>
      </pivotArea>
    </chartFormat>
    <chartFormat chart="9" format="2">
      <pivotArea type="data" outline="0" fieldPosition="0">
        <references count="2">
          <reference field="4294967294" count="1" selected="0">
            <x v="0"/>
          </reference>
          <reference field="2" count="1" selected="0">
            <x v="3"/>
          </reference>
        </references>
      </pivotArea>
    </chartFormat>
    <chartFormat chart="9"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761DDC-C803-4E7D-A337-D6C325CE9CA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C14" firstHeaderRow="0" firstDataRow="1" firstDataCol="1"/>
  <pivotFields count="12">
    <pivotField dataField="1" showAll="0"/>
    <pivotField showAll="0"/>
    <pivotField showAll="0"/>
    <pivotField showAll="0"/>
    <pivotField showAll="0"/>
    <pivotField axis="axisRow" showAll="0">
      <items count="13">
        <item x="0"/>
        <item x="1"/>
        <item x="2"/>
        <item x="3"/>
        <item x="4"/>
        <item x="5"/>
        <item x="6"/>
        <item x="7"/>
        <item x="8"/>
        <item x="9"/>
        <item n="Goa" f="1" x="10"/>
        <item n="Indore" f="1" x="11"/>
        <item t="default"/>
      </items>
    </pivotField>
    <pivotField numFmtId="164" showAll="0"/>
    <pivotField dataField="1" numFmtId="44" showAll="0"/>
    <pivotField showAll="0"/>
    <pivotField numFmtId="14" showAll="0"/>
    <pivotField showAll="0"/>
    <pivotField showAll="0"/>
  </pivotFields>
  <rowFields count="1">
    <field x="5"/>
  </rowFields>
  <rowItems count="12">
    <i>
      <x/>
    </i>
    <i>
      <x v="1"/>
    </i>
    <i>
      <x v="2"/>
    </i>
    <i>
      <x v="3"/>
    </i>
    <i>
      <x v="4"/>
    </i>
    <i>
      <x v="5"/>
    </i>
    <i>
      <x v="6"/>
    </i>
    <i>
      <x v="7"/>
    </i>
    <i>
      <x v="8"/>
    </i>
    <i>
      <x v="9"/>
    </i>
    <i>
      <x v="10"/>
    </i>
    <i>
      <x v="11"/>
    </i>
  </rowItems>
  <colFields count="1">
    <field x="-2"/>
  </colFields>
  <colItems count="2">
    <i>
      <x/>
    </i>
    <i i="1">
      <x v="1"/>
    </i>
  </colItems>
  <dataFields count="2">
    <dataField name="Count of OrderID" fld="0" subtotal="count" baseField="5" baseItem="0"/>
    <dataField name="Sum of Delivery charge" fld="7" baseField="5" baseItem="0" numFmtId="4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8484B4-8385-4237-94A7-701F5153374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A2" firstHeaderRow="1" firstDataRow="1" firstDataCol="0"/>
  <pivotFields count="12">
    <pivotField dataField="1" showAll="0"/>
    <pivotField showAll="0"/>
    <pivotField showAll="0"/>
    <pivotField showAll="0"/>
    <pivotField showAll="0"/>
    <pivotField showAll="0">
      <items count="13">
        <item x="0"/>
        <item x="1"/>
        <item x="2"/>
        <item x="3"/>
        <item x="4"/>
        <item x="5"/>
        <item x="6"/>
        <item x="7"/>
        <item x="8"/>
        <item x="9"/>
        <item n="jgj" f="1" x="11"/>
        <item f="1" x="10"/>
        <item t="default"/>
      </items>
    </pivotField>
    <pivotField numFmtId="164" showAll="0"/>
    <pivotField numFmtId="44" showAll="0"/>
    <pivotField showAll="0"/>
    <pivotField numFmtId="14" showAll="0"/>
    <pivotField showAll="0"/>
    <pivotField showAll="0"/>
  </pivotFields>
  <rowItems count="1">
    <i/>
  </rowItems>
  <colItems count="1">
    <i/>
  </colItems>
  <dataFields count="1">
    <dataField name="Count of OrderID" fld="0" subtotal="count" baseField="5" baseItem="0"/>
  </dataFields>
  <chartFormats count="2">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02E5A90-D79D-479F-BE54-EAE52777F3D5}" sourceName="City">
  <pivotTables>
    <pivotTable tabId="6" name="PivotTable2"/>
    <pivotTable tabId="6" name="PivotTable1"/>
    <pivotTable tabId="8" name="PivotTable5"/>
  </pivotTables>
  <data>
    <tabular pivotCacheId="2020875379">
      <items count="12">
        <i x="0" s="1"/>
        <i x="1" s="1"/>
        <i x="2" s="1"/>
        <i x="3" s="1"/>
        <i x="10" s="1"/>
        <i x="4" s="1"/>
        <i x="5" s="1"/>
        <i x="11" s="1"/>
        <i x="6" s="1"/>
        <i x="7" s="1"/>
        <i x="8" s="1"/>
        <i x="9"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E5C294C0-3C97-42B4-9E70-7340338A0592}" cache="Slicer_City" caption="City"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E98FAF-3178-46D3-A8AC-B7F173A00E86}" name="Restaurant_Details" displayName="Restaurant_Details" ref="A1:H59" totalsRowShown="0" headerRowDxfId="27" headerRowBorderDxfId="26" tableBorderDxfId="25" totalsRowBorderDxfId="24">
  <tableColumns count="8">
    <tableColumn id="1" xr3:uid="{410E3DD0-9738-438C-9E3B-EB7954D1AEEA}" name="OrderID" dataDxfId="23"/>
    <tableColumn id="2" xr3:uid="{D078B2A6-1857-4220-A762-3BC3EB3B92C0}" name="RestaurantID" dataDxfId="22"/>
    <tableColumn id="3" xr3:uid="{9773E8F9-8EE1-4D00-B1AD-65E8B17E421A}" name="Restaurant Name" dataDxfId="21"/>
    <tableColumn id="4" xr3:uid="{279D5339-7B2C-4A1E-9E08-1D10ADA05EF1}" name="Customer" dataDxfId="20"/>
    <tableColumn id="5" xr3:uid="{44C54426-8523-4C58-B33B-FE8EB5142BE0}" name="Cuisine" dataDxfId="19"/>
    <tableColumn id="6" xr3:uid="{A574DE9D-E251-46B8-BCD7-E117888F214E}" name="OrderAmount" dataDxfId="18" dataCellStyle="Currency"/>
    <tableColumn id="7" xr3:uid="{CE4CBEFC-49C3-4B7D-A172-C329738E9AD8}" name="OrderDate" dataDxfId="17"/>
    <tableColumn id="8" xr3:uid="{91C3F70D-5CD1-4151-AD02-C69FCE0F7554}" name="Delivery Partner" dataDxfId="1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8C8451-5D8A-4725-9CAB-B8F1D30CE48B}" name="Restaurant_Details3" displayName="Restaurant_Details3" ref="A1:L59" totalsRowShown="0" headerRowDxfId="15" headerRowBorderDxfId="14" tableBorderDxfId="13" totalsRowBorderDxfId="12">
  <autoFilter ref="A1:L59" xr:uid="{738C8451-5D8A-4725-9CAB-B8F1D30CE48B}"/>
  <sortState xmlns:xlrd2="http://schemas.microsoft.com/office/spreadsheetml/2017/richdata2" ref="A2:L59">
    <sortCondition ref="F1:F59"/>
  </sortState>
  <tableColumns count="12">
    <tableColumn id="1" xr3:uid="{97675862-D299-4A62-A290-4C82612068CB}" name="OrderID" dataDxfId="11"/>
    <tableColumn id="2" xr3:uid="{3FAEB387-C071-4A78-94CB-3D479ABE09E0}" name="RestaurantID" dataDxfId="10"/>
    <tableColumn id="3" xr3:uid="{60AE178E-9EAE-4569-8760-8388767C3E88}" name="Restaurant Name" dataDxfId="9"/>
    <tableColumn id="4" xr3:uid="{D67BE79A-0F25-441B-8BCB-72C852E598A8}" name="Customer" dataDxfId="8"/>
    <tableColumn id="5" xr3:uid="{456CFB69-32BD-43F7-89E8-98CE2820A41A}" name="Cuisine" dataDxfId="7"/>
    <tableColumn id="12" xr3:uid="{0D082EF5-B93C-4512-B142-6EC88BD25C38}" name="City" dataDxfId="6"/>
    <tableColumn id="6" xr3:uid="{255B1095-FD4A-4E34-A06C-B53C07C0CF67}" name="OrderAmount" dataDxfId="5" dataCellStyle="Currency"/>
    <tableColumn id="11" xr3:uid="{FFD363D0-09D3-460B-B4C5-6AFD6B4CAD7B}" name="Delivery charge" dataDxfId="4" dataCellStyle="Currency"/>
    <tableColumn id="13" xr3:uid="{328B5C85-9988-49B6-9A8E-AC115F255A6D}" name="Delivery time(mins)" dataDxfId="3" dataCellStyle="Currency"/>
    <tableColumn id="7" xr3:uid="{6B91E587-6E4C-4578-BCF9-4A027B81B757}" name="OrderDate" dataDxfId="2"/>
    <tableColumn id="10" xr3:uid="{27495F1F-E3E8-4F32-80D6-890805509FF3}" name="Day name" dataDxfId="1">
      <calculatedColumnFormula>TEXT(Restaurant_Details3[[#This Row],[OrderDate]],"dddd")</calculatedColumnFormula>
    </tableColumn>
    <tableColumn id="8" xr3:uid="{50B909BD-12C5-4D4B-B98B-BDDFDCA4FF1C}" name="Delivery Partner"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1"/>
  <sheetViews>
    <sheetView workbookViewId="0">
      <selection activeCell="I1" sqref="I1"/>
    </sheetView>
  </sheetViews>
  <sheetFormatPr defaultRowHeight="15" x14ac:dyDescent="0.25"/>
  <cols>
    <col min="1" max="1" width="8" bestFit="1" customWidth="1"/>
    <col min="2" max="2" width="12.42578125" bestFit="1" customWidth="1"/>
    <col min="3" max="3" width="16.42578125" bestFit="1" customWidth="1"/>
    <col min="4" max="4" width="9.5703125" bestFit="1" customWidth="1"/>
    <col min="5" max="5" width="8.140625" bestFit="1" customWidth="1"/>
    <col min="6" max="6" width="13.42578125" bestFit="1" customWidth="1"/>
    <col min="7" max="7" width="10.28515625" bestFit="1" customWidth="1"/>
    <col min="8" max="8" width="15.5703125" bestFit="1" customWidth="1"/>
    <col min="9" max="9" width="19.7109375" bestFit="1" customWidth="1"/>
  </cols>
  <sheetData>
    <row r="1" spans="1:8" x14ac:dyDescent="0.25">
      <c r="A1" s="1" t="s">
        <v>10</v>
      </c>
      <c r="B1" s="1" t="s">
        <v>76</v>
      </c>
      <c r="C1" s="1" t="s">
        <v>77</v>
      </c>
      <c r="D1" s="1" t="s">
        <v>11</v>
      </c>
      <c r="E1" s="1" t="s">
        <v>12</v>
      </c>
      <c r="F1" s="1" t="s">
        <v>13</v>
      </c>
      <c r="G1" s="1" t="s">
        <v>14</v>
      </c>
      <c r="H1" s="1" t="s">
        <v>1</v>
      </c>
    </row>
    <row r="2" spans="1:8" x14ac:dyDescent="0.25">
      <c r="A2" s="2">
        <v>4001</v>
      </c>
      <c r="B2" s="2" t="s">
        <v>78</v>
      </c>
      <c r="C2" s="3" t="s">
        <v>79</v>
      </c>
      <c r="D2" s="3" t="s">
        <v>15</v>
      </c>
      <c r="E2" s="3" t="s">
        <v>16</v>
      </c>
      <c r="F2" s="6">
        <v>250</v>
      </c>
      <c r="G2" s="4">
        <v>46027</v>
      </c>
      <c r="H2" s="3" t="s">
        <v>8</v>
      </c>
    </row>
    <row r="3" spans="1:8" x14ac:dyDescent="0.25">
      <c r="A3" s="2">
        <v>4002</v>
      </c>
      <c r="B3" s="2" t="s">
        <v>80</v>
      </c>
      <c r="C3" s="3" t="s">
        <v>81</v>
      </c>
      <c r="D3" s="3" t="s">
        <v>17</v>
      </c>
      <c r="E3" s="3" t="s">
        <v>18</v>
      </c>
      <c r="F3" s="6">
        <v>320</v>
      </c>
      <c r="G3" s="4">
        <v>46034</v>
      </c>
      <c r="H3" s="3" t="s">
        <v>9</v>
      </c>
    </row>
    <row r="4" spans="1:8" x14ac:dyDescent="0.25">
      <c r="A4" s="2">
        <v>4003</v>
      </c>
      <c r="B4" s="2" t="s">
        <v>82</v>
      </c>
      <c r="C4" s="3" t="s">
        <v>83</v>
      </c>
      <c r="D4" s="3" t="s">
        <v>7</v>
      </c>
      <c r="E4" s="3" t="s">
        <v>19</v>
      </c>
      <c r="F4" s="6">
        <v>450</v>
      </c>
      <c r="G4" s="4">
        <v>46042</v>
      </c>
      <c r="H4" s="12"/>
    </row>
    <row r="5" spans="1:8" x14ac:dyDescent="0.25">
      <c r="A5" s="2">
        <v>4004</v>
      </c>
      <c r="B5" s="2" t="s">
        <v>84</v>
      </c>
      <c r="C5" s="3" t="s">
        <v>85</v>
      </c>
      <c r="D5" s="3" t="s">
        <v>20</v>
      </c>
      <c r="E5" s="3" t="s">
        <v>16</v>
      </c>
      <c r="F5" s="6">
        <v>290</v>
      </c>
      <c r="G5" s="4">
        <v>46050</v>
      </c>
      <c r="H5" s="3" t="s">
        <v>8</v>
      </c>
    </row>
    <row r="6" spans="1:8" x14ac:dyDescent="0.25">
      <c r="A6" s="2">
        <v>4005</v>
      </c>
      <c r="B6" s="2" t="s">
        <v>86</v>
      </c>
      <c r="C6" s="3" t="s">
        <v>87</v>
      </c>
      <c r="D6" s="3" t="s">
        <v>21</v>
      </c>
      <c r="E6" s="3" t="s">
        <v>18</v>
      </c>
      <c r="F6" s="6">
        <v>500</v>
      </c>
      <c r="G6" s="4">
        <v>46055</v>
      </c>
      <c r="H6" s="3" t="s">
        <v>9</v>
      </c>
    </row>
    <row r="7" spans="1:8" x14ac:dyDescent="0.25">
      <c r="A7" s="2">
        <v>4006</v>
      </c>
      <c r="B7" s="2" t="s">
        <v>88</v>
      </c>
      <c r="C7" s="3" t="s">
        <v>89</v>
      </c>
      <c r="D7" s="3" t="s">
        <v>22</v>
      </c>
      <c r="E7" s="3" t="s">
        <v>18</v>
      </c>
      <c r="F7" s="11">
        <v>310</v>
      </c>
      <c r="G7" s="4">
        <v>46071</v>
      </c>
      <c r="H7" s="3" t="s">
        <v>8</v>
      </c>
    </row>
    <row r="8" spans="1:8" x14ac:dyDescent="0.25">
      <c r="A8" s="7">
        <v>4006</v>
      </c>
      <c r="B8" s="7" t="s">
        <v>88</v>
      </c>
      <c r="C8" s="8" t="s">
        <v>89</v>
      </c>
      <c r="D8" s="8" t="s">
        <v>22</v>
      </c>
      <c r="E8" s="8" t="s">
        <v>18</v>
      </c>
      <c r="F8" s="9">
        <v>310</v>
      </c>
      <c r="G8" s="10">
        <v>46071</v>
      </c>
      <c r="H8" s="8" t="s">
        <v>8</v>
      </c>
    </row>
    <row r="9" spans="1:8" x14ac:dyDescent="0.25">
      <c r="A9" s="2">
        <v>4008</v>
      </c>
      <c r="B9" s="2" t="s">
        <v>90</v>
      </c>
      <c r="C9" s="3" t="s">
        <v>91</v>
      </c>
      <c r="D9" s="3" t="s">
        <v>23</v>
      </c>
      <c r="E9" s="3" t="s">
        <v>16</v>
      </c>
      <c r="F9" s="6">
        <v>180</v>
      </c>
      <c r="G9" s="4">
        <v>46078</v>
      </c>
      <c r="H9" s="3" t="s">
        <v>9</v>
      </c>
    </row>
    <row r="10" spans="1:8" x14ac:dyDescent="0.25">
      <c r="A10" s="2">
        <v>4009</v>
      </c>
      <c r="B10" s="2" t="s">
        <v>92</v>
      </c>
      <c r="C10" s="3" t="s">
        <v>93</v>
      </c>
      <c r="D10" s="3" t="s">
        <v>24</v>
      </c>
      <c r="E10" s="3" t="s">
        <v>19</v>
      </c>
      <c r="F10" s="6">
        <v>410</v>
      </c>
      <c r="G10" s="4">
        <v>46084</v>
      </c>
      <c r="H10" s="12"/>
    </row>
    <row r="11" spans="1:8" x14ac:dyDescent="0.25">
      <c r="A11" s="2">
        <v>4010</v>
      </c>
      <c r="B11" s="2" t="s">
        <v>94</v>
      </c>
      <c r="C11" s="3" t="s">
        <v>95</v>
      </c>
      <c r="D11" s="3" t="s">
        <v>25</v>
      </c>
      <c r="E11" s="3" t="s">
        <v>16</v>
      </c>
      <c r="F11" s="6">
        <v>270</v>
      </c>
      <c r="G11" s="4">
        <v>46092</v>
      </c>
      <c r="H11" s="3" t="s">
        <v>8</v>
      </c>
    </row>
    <row r="12" spans="1:8" x14ac:dyDescent="0.25">
      <c r="A12" s="2">
        <v>4011</v>
      </c>
      <c r="B12" s="2" t="s">
        <v>96</v>
      </c>
      <c r="C12" s="3" t="s">
        <v>97</v>
      </c>
      <c r="D12" s="3" t="s">
        <v>26</v>
      </c>
      <c r="E12" s="3" t="s">
        <v>18</v>
      </c>
      <c r="F12" s="6">
        <v>330</v>
      </c>
      <c r="G12" s="4">
        <v>46100</v>
      </c>
      <c r="H12" s="3" t="s">
        <v>9</v>
      </c>
    </row>
    <row r="13" spans="1:8" x14ac:dyDescent="0.25">
      <c r="A13" s="2">
        <v>4012</v>
      </c>
      <c r="B13" s="2" t="s">
        <v>78</v>
      </c>
      <c r="C13" s="3" t="s">
        <v>79</v>
      </c>
      <c r="D13" s="3" t="s">
        <v>27</v>
      </c>
      <c r="E13" s="3" t="s">
        <v>16</v>
      </c>
      <c r="F13" s="6">
        <v>240</v>
      </c>
      <c r="G13" s="4">
        <v>46108</v>
      </c>
      <c r="H13" s="12"/>
    </row>
    <row r="14" spans="1:8" x14ac:dyDescent="0.25">
      <c r="A14" s="2">
        <v>4013</v>
      </c>
      <c r="B14" s="2" t="s">
        <v>80</v>
      </c>
      <c r="C14" s="3" t="s">
        <v>81</v>
      </c>
      <c r="D14" s="3" t="s">
        <v>28</v>
      </c>
      <c r="E14" s="3" t="s">
        <v>18</v>
      </c>
      <c r="F14" s="6">
        <v>350</v>
      </c>
      <c r="G14" s="4">
        <v>46116</v>
      </c>
      <c r="H14" s="3" t="s">
        <v>8</v>
      </c>
    </row>
    <row r="15" spans="1:8" x14ac:dyDescent="0.25">
      <c r="A15" s="2">
        <v>4014</v>
      </c>
      <c r="B15" s="2" t="s">
        <v>82</v>
      </c>
      <c r="C15" s="3" t="s">
        <v>83</v>
      </c>
      <c r="D15" s="3" t="s">
        <v>29</v>
      </c>
      <c r="E15" s="3" t="s">
        <v>19</v>
      </c>
      <c r="F15" s="6">
        <v>480</v>
      </c>
      <c r="G15" s="4">
        <v>46124</v>
      </c>
      <c r="H15" s="3" t="s">
        <v>9</v>
      </c>
    </row>
    <row r="16" spans="1:8" x14ac:dyDescent="0.25">
      <c r="A16" s="2">
        <v>4015</v>
      </c>
      <c r="B16" s="2" t="s">
        <v>84</v>
      </c>
      <c r="C16" s="3" t="s">
        <v>85</v>
      </c>
      <c r="D16" s="3" t="s">
        <v>30</v>
      </c>
      <c r="E16" s="3" t="s">
        <v>16</v>
      </c>
      <c r="F16" s="6">
        <v>460</v>
      </c>
      <c r="G16" s="4">
        <v>46132</v>
      </c>
      <c r="H16" s="12"/>
    </row>
    <row r="17" spans="1:8" x14ac:dyDescent="0.25">
      <c r="A17" s="2">
        <v>4016</v>
      </c>
      <c r="B17" s="2" t="s">
        <v>86</v>
      </c>
      <c r="C17" s="3" t="s">
        <v>87</v>
      </c>
      <c r="D17" s="3" t="s">
        <v>31</v>
      </c>
      <c r="E17" s="3" t="s">
        <v>16</v>
      </c>
      <c r="F17" s="6">
        <v>260</v>
      </c>
      <c r="G17" s="4">
        <v>46140</v>
      </c>
      <c r="H17" s="3" t="s">
        <v>8</v>
      </c>
    </row>
    <row r="18" spans="1:8" x14ac:dyDescent="0.25">
      <c r="A18" s="2">
        <v>4017</v>
      </c>
      <c r="B18" s="2" t="s">
        <v>88</v>
      </c>
      <c r="C18" s="3" t="s">
        <v>89</v>
      </c>
      <c r="D18" s="3" t="s">
        <v>32</v>
      </c>
      <c r="E18" s="3" t="s">
        <v>18</v>
      </c>
      <c r="F18" s="6">
        <v>420</v>
      </c>
      <c r="G18" s="4">
        <v>46148</v>
      </c>
      <c r="H18" s="3" t="s">
        <v>9</v>
      </c>
    </row>
    <row r="19" spans="1:8" x14ac:dyDescent="0.25">
      <c r="A19" s="2">
        <v>4018</v>
      </c>
      <c r="B19" s="2" t="s">
        <v>90</v>
      </c>
      <c r="C19" s="3" t="s">
        <v>91</v>
      </c>
      <c r="D19" s="3" t="s">
        <v>33</v>
      </c>
      <c r="E19" s="3" t="s">
        <v>19</v>
      </c>
      <c r="F19" s="6">
        <v>210</v>
      </c>
      <c r="G19" s="4">
        <v>46156</v>
      </c>
      <c r="H19" s="12"/>
    </row>
    <row r="20" spans="1:8" x14ac:dyDescent="0.25">
      <c r="A20" s="2">
        <v>4019</v>
      </c>
      <c r="B20" s="2" t="s">
        <v>92</v>
      </c>
      <c r="C20" s="3" t="s">
        <v>93</v>
      </c>
      <c r="D20" s="3" t="s">
        <v>34</v>
      </c>
      <c r="E20" s="3" t="s">
        <v>16</v>
      </c>
      <c r="F20" s="6">
        <v>280</v>
      </c>
      <c r="G20" s="4">
        <v>46164</v>
      </c>
      <c r="H20" s="3" t="s">
        <v>8</v>
      </c>
    </row>
    <row r="21" spans="1:8" x14ac:dyDescent="0.25">
      <c r="A21" s="2">
        <v>4020</v>
      </c>
      <c r="B21" s="2" t="s">
        <v>94</v>
      </c>
      <c r="C21" s="3" t="s">
        <v>95</v>
      </c>
      <c r="D21" s="3" t="s">
        <v>35</v>
      </c>
      <c r="E21" s="3" t="s">
        <v>18</v>
      </c>
      <c r="F21" s="6">
        <v>470</v>
      </c>
      <c r="G21" s="4">
        <v>46172</v>
      </c>
      <c r="H21" s="3" t="s">
        <v>9</v>
      </c>
    </row>
    <row r="22" spans="1:8" x14ac:dyDescent="0.25">
      <c r="A22" s="2">
        <v>4021</v>
      </c>
      <c r="B22" s="2" t="s">
        <v>96</v>
      </c>
      <c r="C22" s="3" t="s">
        <v>97</v>
      </c>
      <c r="D22" s="3" t="s">
        <v>36</v>
      </c>
      <c r="E22" s="3" t="s">
        <v>19</v>
      </c>
      <c r="F22" s="6">
        <v>230</v>
      </c>
      <c r="G22" s="4">
        <v>46180</v>
      </c>
      <c r="H22" s="12"/>
    </row>
    <row r="23" spans="1:8" x14ac:dyDescent="0.25">
      <c r="A23" s="2">
        <v>4022</v>
      </c>
      <c r="B23" s="2" t="s">
        <v>78</v>
      </c>
      <c r="C23" s="3" t="s">
        <v>79</v>
      </c>
      <c r="D23" s="3" t="s">
        <v>37</v>
      </c>
      <c r="E23" s="3" t="s">
        <v>16</v>
      </c>
      <c r="F23" s="6">
        <v>310</v>
      </c>
      <c r="G23" s="4">
        <v>46188</v>
      </c>
      <c r="H23" s="3" t="s">
        <v>8</v>
      </c>
    </row>
    <row r="24" spans="1:8" x14ac:dyDescent="0.25">
      <c r="A24" s="2">
        <v>4023</v>
      </c>
      <c r="B24" s="2" t="s">
        <v>80</v>
      </c>
      <c r="C24" s="3" t="s">
        <v>81</v>
      </c>
      <c r="D24" s="3" t="s">
        <v>38</v>
      </c>
      <c r="E24" s="3" t="s">
        <v>18</v>
      </c>
      <c r="F24" s="6">
        <v>440</v>
      </c>
      <c r="G24" s="4">
        <v>46196</v>
      </c>
      <c r="H24" s="3" t="s">
        <v>9</v>
      </c>
    </row>
    <row r="25" spans="1:8" x14ac:dyDescent="0.25">
      <c r="A25" s="2">
        <v>4024</v>
      </c>
      <c r="B25" s="2" t="s">
        <v>82</v>
      </c>
      <c r="C25" s="3" t="s">
        <v>83</v>
      </c>
      <c r="D25" s="3" t="s">
        <v>39</v>
      </c>
      <c r="E25" s="3" t="s">
        <v>19</v>
      </c>
      <c r="F25" s="6">
        <v>260</v>
      </c>
      <c r="G25" s="4">
        <v>46204</v>
      </c>
      <c r="H25" s="12"/>
    </row>
    <row r="26" spans="1:8" x14ac:dyDescent="0.25">
      <c r="A26" s="2">
        <v>4027</v>
      </c>
      <c r="B26" s="2" t="s">
        <v>84</v>
      </c>
      <c r="C26" s="3" t="s">
        <v>85</v>
      </c>
      <c r="D26" s="3" t="s">
        <v>40</v>
      </c>
      <c r="E26" s="3" t="s">
        <v>16</v>
      </c>
      <c r="F26" s="6">
        <v>340</v>
      </c>
      <c r="G26" s="4">
        <v>46212</v>
      </c>
      <c r="H26" s="3" t="s">
        <v>8</v>
      </c>
    </row>
    <row r="27" spans="1:8" x14ac:dyDescent="0.25">
      <c r="A27" s="2">
        <v>4026</v>
      </c>
      <c r="B27" s="2" t="s">
        <v>86</v>
      </c>
      <c r="C27" s="3" t="s">
        <v>87</v>
      </c>
      <c r="D27" s="3" t="s">
        <v>41</v>
      </c>
      <c r="E27" s="3" t="s">
        <v>18</v>
      </c>
      <c r="F27" s="6">
        <v>490</v>
      </c>
      <c r="G27" s="4">
        <v>46220</v>
      </c>
      <c r="H27" s="3" t="s">
        <v>9</v>
      </c>
    </row>
    <row r="28" spans="1:8" x14ac:dyDescent="0.25">
      <c r="A28" s="7">
        <v>4027</v>
      </c>
      <c r="B28" s="7" t="s">
        <v>86</v>
      </c>
      <c r="C28" s="8" t="s">
        <v>87</v>
      </c>
      <c r="D28" s="8" t="s">
        <v>42</v>
      </c>
      <c r="E28" s="8" t="s">
        <v>16</v>
      </c>
      <c r="F28" s="9">
        <v>220</v>
      </c>
      <c r="G28" s="10">
        <v>46228</v>
      </c>
      <c r="H28" s="12"/>
    </row>
    <row r="29" spans="1:8" x14ac:dyDescent="0.25">
      <c r="A29" s="2">
        <v>4028</v>
      </c>
      <c r="B29" s="2" t="s">
        <v>88</v>
      </c>
      <c r="C29" s="3" t="s">
        <v>89</v>
      </c>
      <c r="D29" s="3" t="s">
        <v>43</v>
      </c>
      <c r="E29" s="3" t="s">
        <v>18</v>
      </c>
      <c r="F29" s="6">
        <v>300</v>
      </c>
      <c r="G29" s="4">
        <v>46236</v>
      </c>
      <c r="H29" s="3" t="s">
        <v>8</v>
      </c>
    </row>
    <row r="30" spans="1:8" x14ac:dyDescent="0.25">
      <c r="A30" s="2">
        <v>4029</v>
      </c>
      <c r="B30" s="2" t="s">
        <v>90</v>
      </c>
      <c r="C30" s="3" t="s">
        <v>91</v>
      </c>
      <c r="D30" s="3" t="s">
        <v>44</v>
      </c>
      <c r="E30" s="3" t="s">
        <v>19</v>
      </c>
      <c r="F30" s="6">
        <v>450</v>
      </c>
      <c r="G30" s="4">
        <v>46244</v>
      </c>
      <c r="H30" s="3" t="s">
        <v>9</v>
      </c>
    </row>
    <row r="31" spans="1:8" x14ac:dyDescent="0.25">
      <c r="A31" s="2">
        <v>4030</v>
      </c>
      <c r="B31" s="2" t="s">
        <v>92</v>
      </c>
      <c r="C31" s="3" t="s">
        <v>93</v>
      </c>
      <c r="D31" s="3" t="s">
        <v>45</v>
      </c>
      <c r="E31" s="3" t="s">
        <v>16</v>
      </c>
      <c r="F31" s="6">
        <v>280</v>
      </c>
      <c r="G31" s="4">
        <v>46252</v>
      </c>
      <c r="H31" s="12"/>
    </row>
    <row r="32" spans="1:8" x14ac:dyDescent="0.25">
      <c r="A32" s="2">
        <v>4031</v>
      </c>
      <c r="B32" s="2" t="s">
        <v>94</v>
      </c>
      <c r="C32" s="3" t="s">
        <v>95</v>
      </c>
      <c r="D32" s="3" t="s">
        <v>46</v>
      </c>
      <c r="E32" s="3" t="s">
        <v>18</v>
      </c>
      <c r="F32" s="6">
        <v>460</v>
      </c>
      <c r="G32" s="4">
        <v>46260</v>
      </c>
      <c r="H32" s="3" t="s">
        <v>8</v>
      </c>
    </row>
    <row r="33" spans="1:8" x14ac:dyDescent="0.25">
      <c r="A33" s="2">
        <v>4032</v>
      </c>
      <c r="B33" s="2" t="s">
        <v>96</v>
      </c>
      <c r="C33" s="3" t="s">
        <v>97</v>
      </c>
      <c r="D33" s="3" t="s">
        <v>47</v>
      </c>
      <c r="E33" s="3" t="s">
        <v>19</v>
      </c>
      <c r="F33" s="6">
        <v>250</v>
      </c>
      <c r="G33" s="4">
        <v>46268</v>
      </c>
      <c r="H33" s="3" t="s">
        <v>9</v>
      </c>
    </row>
    <row r="34" spans="1:8" x14ac:dyDescent="0.25">
      <c r="A34" s="2">
        <v>4033</v>
      </c>
      <c r="B34" s="2" t="s">
        <v>78</v>
      </c>
      <c r="C34" s="3" t="s">
        <v>79</v>
      </c>
      <c r="D34" s="3" t="s">
        <v>48</v>
      </c>
      <c r="E34" s="3" t="s">
        <v>16</v>
      </c>
      <c r="F34" s="6">
        <v>310</v>
      </c>
      <c r="G34" s="4">
        <v>46276</v>
      </c>
      <c r="H34" s="12"/>
    </row>
    <row r="35" spans="1:8" x14ac:dyDescent="0.25">
      <c r="A35" s="2">
        <v>4034</v>
      </c>
      <c r="B35" s="2" t="s">
        <v>80</v>
      </c>
      <c r="C35" s="3" t="s">
        <v>81</v>
      </c>
      <c r="D35" s="3" t="s">
        <v>49</v>
      </c>
      <c r="E35" s="3" t="s">
        <v>18</v>
      </c>
      <c r="F35" s="6">
        <v>430</v>
      </c>
      <c r="G35" s="4">
        <v>46284</v>
      </c>
      <c r="H35" s="3" t="s">
        <v>8</v>
      </c>
    </row>
    <row r="36" spans="1:8" x14ac:dyDescent="0.25">
      <c r="A36" s="2">
        <v>4035</v>
      </c>
      <c r="B36" s="2" t="s">
        <v>82</v>
      </c>
      <c r="C36" s="3" t="s">
        <v>83</v>
      </c>
      <c r="D36" s="3" t="s">
        <v>50</v>
      </c>
      <c r="E36" s="3" t="s">
        <v>19</v>
      </c>
      <c r="F36" s="6">
        <v>270</v>
      </c>
      <c r="G36" s="4">
        <v>46292</v>
      </c>
      <c r="H36" s="3" t="s">
        <v>9</v>
      </c>
    </row>
    <row r="37" spans="1:8" x14ac:dyDescent="0.25">
      <c r="A37" s="2">
        <v>4036</v>
      </c>
      <c r="B37" s="2" t="s">
        <v>84</v>
      </c>
      <c r="C37" s="3" t="s">
        <v>85</v>
      </c>
      <c r="D37" s="3" t="s">
        <v>51</v>
      </c>
      <c r="E37" s="3" t="s">
        <v>16</v>
      </c>
      <c r="F37" s="6">
        <v>290</v>
      </c>
      <c r="G37" s="4">
        <v>46300</v>
      </c>
      <c r="H37" s="12"/>
    </row>
    <row r="38" spans="1:8" x14ac:dyDescent="0.25">
      <c r="A38" s="2">
        <v>4037</v>
      </c>
      <c r="B38" s="2" t="s">
        <v>86</v>
      </c>
      <c r="C38" s="3" t="s">
        <v>87</v>
      </c>
      <c r="D38" s="3" t="s">
        <v>52</v>
      </c>
      <c r="E38" s="3" t="s">
        <v>18</v>
      </c>
      <c r="F38" s="6">
        <v>480</v>
      </c>
      <c r="G38" s="4">
        <v>46308</v>
      </c>
      <c r="H38" s="3" t="s">
        <v>8</v>
      </c>
    </row>
    <row r="39" spans="1:8" x14ac:dyDescent="0.25">
      <c r="A39" s="2">
        <v>4038</v>
      </c>
      <c r="B39" s="2" t="s">
        <v>88</v>
      </c>
      <c r="C39" s="3" t="s">
        <v>89</v>
      </c>
      <c r="D39" s="3" t="s">
        <v>53</v>
      </c>
      <c r="E39" s="3" t="s">
        <v>19</v>
      </c>
      <c r="F39" s="6">
        <v>240</v>
      </c>
      <c r="G39" s="4">
        <v>46316</v>
      </c>
      <c r="H39" s="3" t="s">
        <v>9</v>
      </c>
    </row>
    <row r="40" spans="1:8" x14ac:dyDescent="0.25">
      <c r="A40" s="2">
        <v>4039</v>
      </c>
      <c r="B40" s="2" t="s">
        <v>90</v>
      </c>
      <c r="C40" s="3" t="s">
        <v>91</v>
      </c>
      <c r="D40" s="3" t="s">
        <v>54</v>
      </c>
      <c r="E40" s="3" t="s">
        <v>16</v>
      </c>
      <c r="F40" s="6">
        <v>330</v>
      </c>
      <c r="G40" s="4">
        <v>46324</v>
      </c>
      <c r="H40" s="12"/>
    </row>
    <row r="41" spans="1:8" x14ac:dyDescent="0.25">
      <c r="A41" s="2">
        <v>4040</v>
      </c>
      <c r="B41" s="2" t="s">
        <v>92</v>
      </c>
      <c r="C41" s="3" t="s">
        <v>93</v>
      </c>
      <c r="D41" s="3" t="s">
        <v>55</v>
      </c>
      <c r="E41" s="3" t="s">
        <v>18</v>
      </c>
      <c r="F41" s="6">
        <v>470</v>
      </c>
      <c r="G41" s="4">
        <v>46332</v>
      </c>
      <c r="H41" s="3" t="s">
        <v>8</v>
      </c>
    </row>
    <row r="42" spans="1:8" x14ac:dyDescent="0.25">
      <c r="A42" s="2">
        <v>4041</v>
      </c>
      <c r="B42" s="2" t="s">
        <v>94</v>
      </c>
      <c r="C42" s="3" t="s">
        <v>95</v>
      </c>
      <c r="D42" s="3" t="s">
        <v>56</v>
      </c>
      <c r="E42" s="3" t="s">
        <v>19</v>
      </c>
      <c r="F42" s="6">
        <v>210</v>
      </c>
      <c r="G42" s="4">
        <v>46340</v>
      </c>
      <c r="H42" s="3" t="s">
        <v>9</v>
      </c>
    </row>
    <row r="43" spans="1:8" x14ac:dyDescent="0.25">
      <c r="A43" s="2">
        <v>4042</v>
      </c>
      <c r="B43" s="2" t="s">
        <v>96</v>
      </c>
      <c r="C43" s="3" t="s">
        <v>97</v>
      </c>
      <c r="D43" s="3" t="s">
        <v>57</v>
      </c>
      <c r="E43" s="3" t="s">
        <v>16</v>
      </c>
      <c r="F43" s="6">
        <v>300</v>
      </c>
      <c r="G43" s="4">
        <v>46348</v>
      </c>
      <c r="H43" s="12"/>
    </row>
    <row r="44" spans="1:8" x14ac:dyDescent="0.25">
      <c r="A44" s="2">
        <v>4043</v>
      </c>
      <c r="B44" s="2" t="s">
        <v>78</v>
      </c>
      <c r="C44" s="3" t="s">
        <v>79</v>
      </c>
      <c r="D44" s="3" t="s">
        <v>58</v>
      </c>
      <c r="E44" s="3" t="s">
        <v>18</v>
      </c>
      <c r="F44" s="6">
        <v>490</v>
      </c>
      <c r="G44" s="4">
        <v>46356</v>
      </c>
      <c r="H44" s="3" t="s">
        <v>8</v>
      </c>
    </row>
    <row r="45" spans="1:8" x14ac:dyDescent="0.25">
      <c r="A45" s="2">
        <v>4044</v>
      </c>
      <c r="B45" s="2" t="s">
        <v>80</v>
      </c>
      <c r="C45" s="3" t="s">
        <v>81</v>
      </c>
      <c r="D45" s="3" t="s">
        <v>59</v>
      </c>
      <c r="E45" s="3" t="s">
        <v>19</v>
      </c>
      <c r="F45" s="6">
        <v>260</v>
      </c>
      <c r="G45" s="4">
        <v>46364</v>
      </c>
      <c r="H45" s="3" t="s">
        <v>9</v>
      </c>
    </row>
    <row r="46" spans="1:8" x14ac:dyDescent="0.25">
      <c r="A46" s="2">
        <v>4045</v>
      </c>
      <c r="B46" s="2" t="s">
        <v>82</v>
      </c>
      <c r="C46" s="3" t="s">
        <v>83</v>
      </c>
      <c r="D46" s="3" t="s">
        <v>60</v>
      </c>
      <c r="E46" s="3" t="s">
        <v>16</v>
      </c>
      <c r="F46" s="6">
        <v>340</v>
      </c>
      <c r="G46" s="4">
        <v>46372</v>
      </c>
      <c r="H46" s="12"/>
    </row>
    <row r="47" spans="1:8" x14ac:dyDescent="0.25">
      <c r="A47" s="2">
        <v>4046</v>
      </c>
      <c r="B47" s="2" t="s">
        <v>84</v>
      </c>
      <c r="C47" s="3" t="s">
        <v>85</v>
      </c>
      <c r="D47" s="3" t="s">
        <v>61</v>
      </c>
      <c r="E47" s="3" t="s">
        <v>18</v>
      </c>
      <c r="F47" s="6">
        <v>450</v>
      </c>
      <c r="G47" s="4">
        <v>46380</v>
      </c>
      <c r="H47" s="3" t="s">
        <v>8</v>
      </c>
    </row>
    <row r="48" spans="1:8" x14ac:dyDescent="0.25">
      <c r="A48" s="2">
        <v>4047</v>
      </c>
      <c r="B48" s="2" t="s">
        <v>86</v>
      </c>
      <c r="C48" s="3" t="s">
        <v>87</v>
      </c>
      <c r="D48" s="3" t="s">
        <v>62</v>
      </c>
      <c r="E48" s="3" t="s">
        <v>19</v>
      </c>
      <c r="F48" s="6">
        <v>280</v>
      </c>
      <c r="G48" s="4">
        <v>46384</v>
      </c>
      <c r="H48" s="3" t="s">
        <v>9</v>
      </c>
    </row>
    <row r="49" spans="1:8" x14ac:dyDescent="0.25">
      <c r="A49" s="2">
        <v>4048</v>
      </c>
      <c r="B49" s="2" t="s">
        <v>88</v>
      </c>
      <c r="C49" s="3" t="s">
        <v>89</v>
      </c>
      <c r="D49" s="3" t="s">
        <v>63</v>
      </c>
      <c r="E49" s="3" t="s">
        <v>16</v>
      </c>
      <c r="F49" s="6">
        <v>310</v>
      </c>
      <c r="G49" s="4">
        <v>46385</v>
      </c>
      <c r="H49" s="12"/>
    </row>
    <row r="50" spans="1:8" x14ac:dyDescent="0.25">
      <c r="A50" s="2">
        <v>4049</v>
      </c>
      <c r="B50" s="2" t="s">
        <v>90</v>
      </c>
      <c r="C50" s="3" t="s">
        <v>91</v>
      </c>
      <c r="D50" s="3" t="s">
        <v>64</v>
      </c>
      <c r="E50" s="3" t="s">
        <v>18</v>
      </c>
      <c r="F50" s="6">
        <v>430</v>
      </c>
      <c r="G50" s="4">
        <v>46386</v>
      </c>
      <c r="H50" s="3" t="s">
        <v>8</v>
      </c>
    </row>
    <row r="51" spans="1:8" x14ac:dyDescent="0.25">
      <c r="A51" s="2">
        <v>4050</v>
      </c>
      <c r="B51" s="2" t="s">
        <v>92</v>
      </c>
      <c r="C51" s="3" t="s">
        <v>93</v>
      </c>
      <c r="D51" s="3" t="s">
        <v>65</v>
      </c>
      <c r="E51" s="3" t="s">
        <v>19</v>
      </c>
      <c r="F51" s="6">
        <v>270</v>
      </c>
      <c r="G51" s="4">
        <v>46387</v>
      </c>
      <c r="H51" s="3" t="s">
        <v>9</v>
      </c>
    </row>
    <row r="52" spans="1:8" x14ac:dyDescent="0.25">
      <c r="A52" s="2">
        <v>4051</v>
      </c>
      <c r="B52" s="2" t="s">
        <v>94</v>
      </c>
      <c r="C52" s="3" t="s">
        <v>95</v>
      </c>
      <c r="D52" s="3" t="s">
        <v>66</v>
      </c>
      <c r="E52" s="3" t="s">
        <v>16</v>
      </c>
      <c r="F52" s="6">
        <v>220</v>
      </c>
      <c r="G52" s="4">
        <v>46037</v>
      </c>
      <c r="H52" s="12"/>
    </row>
    <row r="53" spans="1:8" x14ac:dyDescent="0.25">
      <c r="A53" s="2">
        <v>4052</v>
      </c>
      <c r="B53" s="2" t="s">
        <v>96</v>
      </c>
      <c r="C53" s="3" t="s">
        <v>97</v>
      </c>
      <c r="D53" s="3" t="s">
        <v>67</v>
      </c>
      <c r="E53" s="3" t="s">
        <v>18</v>
      </c>
      <c r="F53" s="6">
        <v>310</v>
      </c>
      <c r="G53" s="4">
        <v>46075</v>
      </c>
      <c r="H53" s="3" t="s">
        <v>8</v>
      </c>
    </row>
    <row r="54" spans="1:8" x14ac:dyDescent="0.25">
      <c r="A54" s="2">
        <v>4053</v>
      </c>
      <c r="B54" s="2" t="s">
        <v>78</v>
      </c>
      <c r="C54" s="3" t="s">
        <v>79</v>
      </c>
      <c r="D54" s="3" t="s">
        <v>68</v>
      </c>
      <c r="E54" s="3" t="s">
        <v>19</v>
      </c>
      <c r="F54" s="6">
        <v>450</v>
      </c>
      <c r="G54" s="4">
        <v>46093</v>
      </c>
      <c r="H54" s="3" t="s">
        <v>9</v>
      </c>
    </row>
    <row r="55" spans="1:8" x14ac:dyDescent="0.25">
      <c r="A55" s="2">
        <v>4054</v>
      </c>
      <c r="B55" s="2" t="s">
        <v>80</v>
      </c>
      <c r="C55" s="3" t="s">
        <v>81</v>
      </c>
      <c r="D55" s="3" t="s">
        <v>6</v>
      </c>
      <c r="E55" s="3" t="s">
        <v>16</v>
      </c>
      <c r="F55" s="6">
        <v>280</v>
      </c>
      <c r="G55" s="4">
        <v>46137</v>
      </c>
      <c r="H55" s="12"/>
    </row>
    <row r="56" spans="1:8" x14ac:dyDescent="0.25">
      <c r="A56" s="2">
        <v>4055</v>
      </c>
      <c r="B56" s="2" t="s">
        <v>82</v>
      </c>
      <c r="C56" s="3" t="s">
        <v>83</v>
      </c>
      <c r="D56" s="3" t="s">
        <v>69</v>
      </c>
      <c r="E56" s="3" t="s">
        <v>18</v>
      </c>
      <c r="F56" s="6">
        <v>330</v>
      </c>
      <c r="G56" s="4">
        <v>46156</v>
      </c>
      <c r="H56" s="3" t="s">
        <v>8</v>
      </c>
    </row>
    <row r="57" spans="1:8" x14ac:dyDescent="0.25">
      <c r="A57" s="2">
        <v>4056</v>
      </c>
      <c r="B57" s="2" t="s">
        <v>84</v>
      </c>
      <c r="C57" s="3" t="s">
        <v>85</v>
      </c>
      <c r="D57" s="3" t="s">
        <v>70</v>
      </c>
      <c r="E57" s="3" t="s">
        <v>19</v>
      </c>
      <c r="F57" s="6">
        <v>490</v>
      </c>
      <c r="G57" s="4">
        <v>46192</v>
      </c>
      <c r="H57" s="3" t="s">
        <v>9</v>
      </c>
    </row>
    <row r="58" spans="1:8" x14ac:dyDescent="0.25">
      <c r="A58" s="2">
        <v>4057</v>
      </c>
      <c r="B58" s="2" t="s">
        <v>86</v>
      </c>
      <c r="C58" s="3" t="s">
        <v>87</v>
      </c>
      <c r="D58" s="3" t="s">
        <v>71</v>
      </c>
      <c r="E58" s="3" t="s">
        <v>16</v>
      </c>
      <c r="F58" s="6">
        <v>240</v>
      </c>
      <c r="G58" s="4">
        <v>46210</v>
      </c>
      <c r="H58" s="12"/>
    </row>
    <row r="59" spans="1:8" x14ac:dyDescent="0.25">
      <c r="A59" s="2">
        <v>4058</v>
      </c>
      <c r="B59" s="2" t="s">
        <v>88</v>
      </c>
      <c r="C59" s="3" t="s">
        <v>89</v>
      </c>
      <c r="D59" s="3" t="s">
        <v>72</v>
      </c>
      <c r="E59" s="3" t="s">
        <v>18</v>
      </c>
      <c r="F59" s="6">
        <v>300</v>
      </c>
      <c r="G59" s="4">
        <v>46245</v>
      </c>
      <c r="H59" s="3" t="s">
        <v>8</v>
      </c>
    </row>
    <row r="60" spans="1:8" x14ac:dyDescent="0.25">
      <c r="A60" s="2">
        <v>4059</v>
      </c>
      <c r="B60" s="2" t="s">
        <v>90</v>
      </c>
      <c r="C60" s="3" t="s">
        <v>91</v>
      </c>
      <c r="D60" s="3" t="s">
        <v>73</v>
      </c>
      <c r="E60" s="3" t="s">
        <v>19</v>
      </c>
      <c r="F60" s="6">
        <v>470</v>
      </c>
      <c r="G60" s="4">
        <v>46286</v>
      </c>
      <c r="H60" s="3" t="s">
        <v>9</v>
      </c>
    </row>
    <row r="61" spans="1:8" x14ac:dyDescent="0.25">
      <c r="A61" s="2">
        <v>4060</v>
      </c>
      <c r="B61" s="2" t="s">
        <v>92</v>
      </c>
      <c r="C61" s="3" t="s">
        <v>93</v>
      </c>
      <c r="D61" s="3" t="s">
        <v>74</v>
      </c>
      <c r="E61" s="3" t="s">
        <v>16</v>
      </c>
      <c r="F61" s="6">
        <v>260</v>
      </c>
      <c r="G61" s="4">
        <v>46300</v>
      </c>
      <c r="H61" s="1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6F86D-CF51-4B6B-A99B-9C85D0578969}">
  <dimension ref="A1:H59"/>
  <sheetViews>
    <sheetView topLeftCell="A39" workbookViewId="0">
      <selection sqref="A1:H59"/>
    </sheetView>
  </sheetViews>
  <sheetFormatPr defaultRowHeight="15" x14ac:dyDescent="0.25"/>
  <cols>
    <col min="1" max="1" width="8" bestFit="1" customWidth="1"/>
    <col min="2" max="2" width="12.42578125" bestFit="1" customWidth="1"/>
    <col min="3" max="3" width="16.42578125" bestFit="1" customWidth="1"/>
    <col min="4" max="4" width="9.5703125" bestFit="1" customWidth="1"/>
    <col min="5" max="5" width="8.140625" bestFit="1" customWidth="1"/>
    <col min="6" max="6" width="13.42578125" bestFit="1" customWidth="1"/>
    <col min="7" max="7" width="10.28515625" bestFit="1" customWidth="1"/>
    <col min="8" max="8" width="15.5703125" bestFit="1" customWidth="1"/>
  </cols>
  <sheetData>
    <row r="1" spans="1:8" x14ac:dyDescent="0.25">
      <c r="A1" s="1" t="s">
        <v>10</v>
      </c>
      <c r="B1" s="1" t="s">
        <v>76</v>
      </c>
      <c r="C1" s="1" t="s">
        <v>77</v>
      </c>
      <c r="D1" s="1" t="s">
        <v>11</v>
      </c>
      <c r="E1" s="1" t="s">
        <v>12</v>
      </c>
      <c r="F1" s="1" t="s">
        <v>13</v>
      </c>
      <c r="G1" s="1" t="s">
        <v>14</v>
      </c>
      <c r="H1" s="1" t="s">
        <v>1</v>
      </c>
    </row>
    <row r="2" spans="1:8" x14ac:dyDescent="0.25">
      <c r="A2" s="2">
        <v>4001</v>
      </c>
      <c r="B2" s="2" t="s">
        <v>78</v>
      </c>
      <c r="C2" s="3" t="s">
        <v>79</v>
      </c>
      <c r="D2" s="3" t="s">
        <v>15</v>
      </c>
      <c r="E2" s="3" t="s">
        <v>16</v>
      </c>
      <c r="F2" s="6">
        <v>250</v>
      </c>
      <c r="G2" s="4">
        <v>46027</v>
      </c>
      <c r="H2" s="3" t="s">
        <v>8</v>
      </c>
    </row>
    <row r="3" spans="1:8" x14ac:dyDescent="0.25">
      <c r="A3" s="2">
        <v>4002</v>
      </c>
      <c r="B3" s="2" t="s">
        <v>80</v>
      </c>
      <c r="C3" s="3" t="s">
        <v>81</v>
      </c>
      <c r="D3" s="3" t="s">
        <v>17</v>
      </c>
      <c r="E3" s="3" t="s">
        <v>18</v>
      </c>
      <c r="F3" s="6">
        <v>320</v>
      </c>
      <c r="G3" s="4">
        <v>46034</v>
      </c>
      <c r="H3" s="3" t="s">
        <v>9</v>
      </c>
    </row>
    <row r="4" spans="1:8" x14ac:dyDescent="0.25">
      <c r="A4" s="2">
        <v>4003</v>
      </c>
      <c r="B4" s="2" t="s">
        <v>82</v>
      </c>
      <c r="C4" s="3" t="s">
        <v>83</v>
      </c>
      <c r="D4" s="3" t="s">
        <v>7</v>
      </c>
      <c r="E4" s="3" t="s">
        <v>19</v>
      </c>
      <c r="F4" s="6">
        <v>450</v>
      </c>
      <c r="G4" s="4">
        <v>46042</v>
      </c>
      <c r="H4" s="12" t="s">
        <v>75</v>
      </c>
    </row>
    <row r="5" spans="1:8" x14ac:dyDescent="0.25">
      <c r="A5" s="2">
        <v>4004</v>
      </c>
      <c r="B5" s="2" t="s">
        <v>84</v>
      </c>
      <c r="C5" s="3" t="s">
        <v>85</v>
      </c>
      <c r="D5" s="3" t="s">
        <v>20</v>
      </c>
      <c r="E5" s="3" t="s">
        <v>16</v>
      </c>
      <c r="F5" s="6">
        <v>290</v>
      </c>
      <c r="G5" s="4">
        <v>46050</v>
      </c>
      <c r="H5" s="3" t="s">
        <v>8</v>
      </c>
    </row>
    <row r="6" spans="1:8" x14ac:dyDescent="0.25">
      <c r="A6" s="2">
        <v>4005</v>
      </c>
      <c r="B6" s="2" t="s">
        <v>86</v>
      </c>
      <c r="C6" s="3" t="s">
        <v>87</v>
      </c>
      <c r="D6" s="3" t="s">
        <v>21</v>
      </c>
      <c r="E6" s="3" t="s">
        <v>18</v>
      </c>
      <c r="F6" s="6">
        <v>500</v>
      </c>
      <c r="G6" s="4">
        <v>46055</v>
      </c>
      <c r="H6" s="3" t="s">
        <v>9</v>
      </c>
    </row>
    <row r="7" spans="1:8" x14ac:dyDescent="0.25">
      <c r="A7" s="2">
        <v>4006</v>
      </c>
      <c r="B7" s="2" t="s">
        <v>88</v>
      </c>
      <c r="C7" s="3" t="s">
        <v>89</v>
      </c>
      <c r="D7" s="3" t="s">
        <v>22</v>
      </c>
      <c r="E7" s="3" t="s">
        <v>18</v>
      </c>
      <c r="F7" s="6">
        <v>310</v>
      </c>
      <c r="G7" s="4">
        <v>46071</v>
      </c>
      <c r="H7" s="3" t="s">
        <v>8</v>
      </c>
    </row>
    <row r="8" spans="1:8" x14ac:dyDescent="0.25">
      <c r="A8" s="2">
        <v>4008</v>
      </c>
      <c r="B8" s="2" t="s">
        <v>90</v>
      </c>
      <c r="C8" s="3" t="s">
        <v>91</v>
      </c>
      <c r="D8" s="3" t="s">
        <v>23</v>
      </c>
      <c r="E8" s="3" t="s">
        <v>16</v>
      </c>
      <c r="F8" s="6">
        <v>180</v>
      </c>
      <c r="G8" s="4">
        <v>46078</v>
      </c>
      <c r="H8" s="3" t="s">
        <v>9</v>
      </c>
    </row>
    <row r="9" spans="1:8" x14ac:dyDescent="0.25">
      <c r="A9" s="2">
        <v>4009</v>
      </c>
      <c r="B9" s="2" t="s">
        <v>92</v>
      </c>
      <c r="C9" s="3" t="s">
        <v>93</v>
      </c>
      <c r="D9" s="3" t="s">
        <v>24</v>
      </c>
      <c r="E9" s="3" t="s">
        <v>19</v>
      </c>
      <c r="F9" s="6">
        <v>410</v>
      </c>
      <c r="G9" s="4">
        <v>46084</v>
      </c>
      <c r="H9" s="12" t="s">
        <v>75</v>
      </c>
    </row>
    <row r="10" spans="1:8" x14ac:dyDescent="0.25">
      <c r="A10" s="2">
        <v>4010</v>
      </c>
      <c r="B10" s="2" t="s">
        <v>94</v>
      </c>
      <c r="C10" s="3" t="s">
        <v>95</v>
      </c>
      <c r="D10" s="3" t="s">
        <v>25</v>
      </c>
      <c r="E10" s="3" t="s">
        <v>16</v>
      </c>
      <c r="F10" s="6">
        <v>270</v>
      </c>
      <c r="G10" s="4">
        <v>46092</v>
      </c>
      <c r="H10" s="3" t="s">
        <v>8</v>
      </c>
    </row>
    <row r="11" spans="1:8" x14ac:dyDescent="0.25">
      <c r="A11" s="2">
        <v>4011</v>
      </c>
      <c r="B11" s="2" t="s">
        <v>96</v>
      </c>
      <c r="C11" s="3" t="s">
        <v>97</v>
      </c>
      <c r="D11" s="3" t="s">
        <v>26</v>
      </c>
      <c r="E11" s="3" t="s">
        <v>18</v>
      </c>
      <c r="F11" s="6">
        <v>330</v>
      </c>
      <c r="G11" s="4">
        <v>46100</v>
      </c>
      <c r="H11" s="3" t="s">
        <v>9</v>
      </c>
    </row>
    <row r="12" spans="1:8" x14ac:dyDescent="0.25">
      <c r="A12" s="2">
        <v>4012</v>
      </c>
      <c r="B12" s="2" t="s">
        <v>78</v>
      </c>
      <c r="C12" s="3" t="s">
        <v>79</v>
      </c>
      <c r="D12" s="3" t="s">
        <v>27</v>
      </c>
      <c r="E12" s="3" t="s">
        <v>16</v>
      </c>
      <c r="F12" s="6">
        <v>240</v>
      </c>
      <c r="G12" s="4">
        <v>46108</v>
      </c>
      <c r="H12" s="12" t="s">
        <v>75</v>
      </c>
    </row>
    <row r="13" spans="1:8" x14ac:dyDescent="0.25">
      <c r="A13" s="2">
        <v>4013</v>
      </c>
      <c r="B13" s="2" t="s">
        <v>80</v>
      </c>
      <c r="C13" s="3" t="s">
        <v>81</v>
      </c>
      <c r="D13" s="3" t="s">
        <v>28</v>
      </c>
      <c r="E13" s="3" t="s">
        <v>18</v>
      </c>
      <c r="F13" s="6">
        <v>350</v>
      </c>
      <c r="G13" s="4">
        <v>46116</v>
      </c>
      <c r="H13" s="3" t="s">
        <v>8</v>
      </c>
    </row>
    <row r="14" spans="1:8" x14ac:dyDescent="0.25">
      <c r="A14" s="2">
        <v>4014</v>
      </c>
      <c r="B14" s="2" t="s">
        <v>82</v>
      </c>
      <c r="C14" s="3" t="s">
        <v>83</v>
      </c>
      <c r="D14" s="3" t="s">
        <v>29</v>
      </c>
      <c r="E14" s="3" t="s">
        <v>19</v>
      </c>
      <c r="F14" s="6">
        <v>480</v>
      </c>
      <c r="G14" s="4">
        <v>46124</v>
      </c>
      <c r="H14" s="3" t="s">
        <v>9</v>
      </c>
    </row>
    <row r="15" spans="1:8" x14ac:dyDescent="0.25">
      <c r="A15" s="2">
        <v>4015</v>
      </c>
      <c r="B15" s="2" t="s">
        <v>84</v>
      </c>
      <c r="C15" s="3" t="s">
        <v>85</v>
      </c>
      <c r="D15" s="3" t="s">
        <v>30</v>
      </c>
      <c r="E15" s="3" t="s">
        <v>16</v>
      </c>
      <c r="F15" s="6">
        <v>460</v>
      </c>
      <c r="G15" s="4">
        <v>46132</v>
      </c>
      <c r="H15" s="12" t="s">
        <v>75</v>
      </c>
    </row>
    <row r="16" spans="1:8" x14ac:dyDescent="0.25">
      <c r="A16" s="2">
        <v>4016</v>
      </c>
      <c r="B16" s="2" t="s">
        <v>86</v>
      </c>
      <c r="C16" s="3" t="s">
        <v>87</v>
      </c>
      <c r="D16" s="3" t="s">
        <v>31</v>
      </c>
      <c r="E16" s="3" t="s">
        <v>16</v>
      </c>
      <c r="F16" s="6">
        <v>260</v>
      </c>
      <c r="G16" s="4">
        <v>46140</v>
      </c>
      <c r="H16" s="3" t="s">
        <v>8</v>
      </c>
    </row>
    <row r="17" spans="1:8" x14ac:dyDescent="0.25">
      <c r="A17" s="2">
        <v>4017</v>
      </c>
      <c r="B17" s="2" t="s">
        <v>88</v>
      </c>
      <c r="C17" s="3" t="s">
        <v>89</v>
      </c>
      <c r="D17" s="3" t="s">
        <v>32</v>
      </c>
      <c r="E17" s="3" t="s">
        <v>18</v>
      </c>
      <c r="F17" s="6">
        <v>420</v>
      </c>
      <c r="G17" s="4">
        <v>46148</v>
      </c>
      <c r="H17" s="3" t="s">
        <v>9</v>
      </c>
    </row>
    <row r="18" spans="1:8" x14ac:dyDescent="0.25">
      <c r="A18" s="2">
        <v>4018</v>
      </c>
      <c r="B18" s="2" t="s">
        <v>90</v>
      </c>
      <c r="C18" s="3" t="s">
        <v>91</v>
      </c>
      <c r="D18" s="3" t="s">
        <v>33</v>
      </c>
      <c r="E18" s="3" t="s">
        <v>19</v>
      </c>
      <c r="F18" s="6">
        <v>210</v>
      </c>
      <c r="G18" s="4">
        <v>46156</v>
      </c>
      <c r="H18" s="12" t="s">
        <v>75</v>
      </c>
    </row>
    <row r="19" spans="1:8" x14ac:dyDescent="0.25">
      <c r="A19" s="2">
        <v>4019</v>
      </c>
      <c r="B19" s="2" t="s">
        <v>92</v>
      </c>
      <c r="C19" s="3" t="s">
        <v>93</v>
      </c>
      <c r="D19" s="3" t="s">
        <v>34</v>
      </c>
      <c r="E19" s="3" t="s">
        <v>16</v>
      </c>
      <c r="F19" s="6">
        <v>280</v>
      </c>
      <c r="G19" s="4">
        <v>46164</v>
      </c>
      <c r="H19" s="3" t="s">
        <v>8</v>
      </c>
    </row>
    <row r="20" spans="1:8" x14ac:dyDescent="0.25">
      <c r="A20" s="2">
        <v>4020</v>
      </c>
      <c r="B20" s="2" t="s">
        <v>94</v>
      </c>
      <c r="C20" s="3" t="s">
        <v>95</v>
      </c>
      <c r="D20" s="3" t="s">
        <v>35</v>
      </c>
      <c r="E20" s="3" t="s">
        <v>18</v>
      </c>
      <c r="F20" s="6">
        <v>470</v>
      </c>
      <c r="G20" s="4">
        <v>46172</v>
      </c>
      <c r="H20" s="3" t="s">
        <v>9</v>
      </c>
    </row>
    <row r="21" spans="1:8" x14ac:dyDescent="0.25">
      <c r="A21" s="2">
        <v>4021</v>
      </c>
      <c r="B21" s="2" t="s">
        <v>96</v>
      </c>
      <c r="C21" s="3" t="s">
        <v>97</v>
      </c>
      <c r="D21" s="3" t="s">
        <v>36</v>
      </c>
      <c r="E21" s="3" t="s">
        <v>19</v>
      </c>
      <c r="F21" s="6">
        <v>230</v>
      </c>
      <c r="G21" s="4">
        <v>46180</v>
      </c>
      <c r="H21" s="12" t="s">
        <v>75</v>
      </c>
    </row>
    <row r="22" spans="1:8" x14ac:dyDescent="0.25">
      <c r="A22" s="2">
        <v>4022</v>
      </c>
      <c r="B22" s="2" t="s">
        <v>78</v>
      </c>
      <c r="C22" s="3" t="s">
        <v>79</v>
      </c>
      <c r="D22" s="3" t="s">
        <v>37</v>
      </c>
      <c r="E22" s="3" t="s">
        <v>16</v>
      </c>
      <c r="F22" s="6">
        <v>310</v>
      </c>
      <c r="G22" s="4">
        <v>46188</v>
      </c>
      <c r="H22" s="3" t="s">
        <v>8</v>
      </c>
    </row>
    <row r="23" spans="1:8" x14ac:dyDescent="0.25">
      <c r="A23" s="2">
        <v>4023</v>
      </c>
      <c r="B23" s="2" t="s">
        <v>80</v>
      </c>
      <c r="C23" s="3" t="s">
        <v>81</v>
      </c>
      <c r="D23" s="3" t="s">
        <v>38</v>
      </c>
      <c r="E23" s="3" t="s">
        <v>18</v>
      </c>
      <c r="F23" s="6">
        <v>440</v>
      </c>
      <c r="G23" s="4">
        <v>46196</v>
      </c>
      <c r="H23" s="3" t="s">
        <v>9</v>
      </c>
    </row>
    <row r="24" spans="1:8" x14ac:dyDescent="0.25">
      <c r="A24" s="2">
        <v>4024</v>
      </c>
      <c r="B24" s="2" t="s">
        <v>82</v>
      </c>
      <c r="C24" s="3" t="s">
        <v>83</v>
      </c>
      <c r="D24" s="3" t="s">
        <v>39</v>
      </c>
      <c r="E24" s="3" t="s">
        <v>19</v>
      </c>
      <c r="F24" s="6">
        <v>260</v>
      </c>
      <c r="G24" s="4">
        <v>46204</v>
      </c>
      <c r="H24" s="12" t="s">
        <v>75</v>
      </c>
    </row>
    <row r="25" spans="1:8" x14ac:dyDescent="0.25">
      <c r="A25" s="2">
        <v>4027</v>
      </c>
      <c r="B25" s="2" t="s">
        <v>84</v>
      </c>
      <c r="C25" s="3" t="s">
        <v>85</v>
      </c>
      <c r="D25" s="3" t="s">
        <v>42</v>
      </c>
      <c r="E25" s="3" t="s">
        <v>16</v>
      </c>
      <c r="F25" s="6">
        <v>220</v>
      </c>
      <c r="G25" s="4">
        <v>46228</v>
      </c>
      <c r="H25" s="12" t="s">
        <v>75</v>
      </c>
    </row>
    <row r="26" spans="1:8" x14ac:dyDescent="0.25">
      <c r="A26" s="2">
        <v>4026</v>
      </c>
      <c r="B26" s="2" t="s">
        <v>86</v>
      </c>
      <c r="C26" s="3" t="s">
        <v>87</v>
      </c>
      <c r="D26" s="3" t="s">
        <v>41</v>
      </c>
      <c r="E26" s="3" t="s">
        <v>18</v>
      </c>
      <c r="F26" s="6">
        <v>490</v>
      </c>
      <c r="G26" s="4">
        <v>46220</v>
      </c>
      <c r="H26" s="3" t="s">
        <v>9</v>
      </c>
    </row>
    <row r="27" spans="1:8" x14ac:dyDescent="0.25">
      <c r="A27" s="2">
        <v>4028</v>
      </c>
      <c r="B27" s="2" t="s">
        <v>88</v>
      </c>
      <c r="C27" s="3" t="s">
        <v>89</v>
      </c>
      <c r="D27" s="3" t="s">
        <v>43</v>
      </c>
      <c r="E27" s="3" t="s">
        <v>18</v>
      </c>
      <c r="F27" s="6">
        <v>300</v>
      </c>
      <c r="G27" s="4">
        <v>46236</v>
      </c>
      <c r="H27" s="3" t="s">
        <v>8</v>
      </c>
    </row>
    <row r="28" spans="1:8" x14ac:dyDescent="0.25">
      <c r="A28" s="2">
        <v>4029</v>
      </c>
      <c r="B28" s="2" t="s">
        <v>90</v>
      </c>
      <c r="C28" s="3" t="s">
        <v>91</v>
      </c>
      <c r="D28" s="3" t="s">
        <v>44</v>
      </c>
      <c r="E28" s="3" t="s">
        <v>19</v>
      </c>
      <c r="F28" s="6">
        <v>450</v>
      </c>
      <c r="G28" s="4">
        <v>46244</v>
      </c>
      <c r="H28" s="3" t="s">
        <v>9</v>
      </c>
    </row>
    <row r="29" spans="1:8" x14ac:dyDescent="0.25">
      <c r="A29" s="2">
        <v>4030</v>
      </c>
      <c r="B29" s="2" t="s">
        <v>92</v>
      </c>
      <c r="C29" s="3" t="s">
        <v>93</v>
      </c>
      <c r="D29" s="3" t="s">
        <v>45</v>
      </c>
      <c r="E29" s="3" t="s">
        <v>16</v>
      </c>
      <c r="F29" s="6">
        <v>280</v>
      </c>
      <c r="G29" s="4">
        <v>46252</v>
      </c>
      <c r="H29" s="12" t="s">
        <v>75</v>
      </c>
    </row>
    <row r="30" spans="1:8" x14ac:dyDescent="0.25">
      <c r="A30" s="2">
        <v>4031</v>
      </c>
      <c r="B30" s="2" t="s">
        <v>94</v>
      </c>
      <c r="C30" s="3" t="s">
        <v>95</v>
      </c>
      <c r="D30" s="3" t="s">
        <v>46</v>
      </c>
      <c r="E30" s="3" t="s">
        <v>18</v>
      </c>
      <c r="F30" s="6">
        <v>460</v>
      </c>
      <c r="G30" s="4">
        <v>46260</v>
      </c>
      <c r="H30" s="3" t="s">
        <v>8</v>
      </c>
    </row>
    <row r="31" spans="1:8" x14ac:dyDescent="0.25">
      <c r="A31" s="2">
        <v>4032</v>
      </c>
      <c r="B31" s="2" t="s">
        <v>96</v>
      </c>
      <c r="C31" s="3" t="s">
        <v>97</v>
      </c>
      <c r="D31" s="3" t="s">
        <v>47</v>
      </c>
      <c r="E31" s="3" t="s">
        <v>19</v>
      </c>
      <c r="F31" s="6">
        <v>250</v>
      </c>
      <c r="G31" s="4">
        <v>46268</v>
      </c>
      <c r="H31" s="3" t="s">
        <v>9</v>
      </c>
    </row>
    <row r="32" spans="1:8" x14ac:dyDescent="0.25">
      <c r="A32" s="2">
        <v>4033</v>
      </c>
      <c r="B32" s="2" t="s">
        <v>78</v>
      </c>
      <c r="C32" s="3" t="s">
        <v>79</v>
      </c>
      <c r="D32" s="3" t="s">
        <v>48</v>
      </c>
      <c r="E32" s="3" t="s">
        <v>16</v>
      </c>
      <c r="F32" s="6">
        <v>310</v>
      </c>
      <c r="G32" s="4">
        <v>46276</v>
      </c>
      <c r="H32" s="12" t="s">
        <v>75</v>
      </c>
    </row>
    <row r="33" spans="1:8" x14ac:dyDescent="0.25">
      <c r="A33" s="2">
        <v>4034</v>
      </c>
      <c r="B33" s="2" t="s">
        <v>80</v>
      </c>
      <c r="C33" s="3" t="s">
        <v>81</v>
      </c>
      <c r="D33" s="3" t="s">
        <v>49</v>
      </c>
      <c r="E33" s="3" t="s">
        <v>18</v>
      </c>
      <c r="F33" s="6">
        <v>430</v>
      </c>
      <c r="G33" s="4">
        <v>46284</v>
      </c>
      <c r="H33" s="3" t="s">
        <v>8</v>
      </c>
    </row>
    <row r="34" spans="1:8" x14ac:dyDescent="0.25">
      <c r="A34" s="2">
        <v>4035</v>
      </c>
      <c r="B34" s="2" t="s">
        <v>82</v>
      </c>
      <c r="C34" s="3" t="s">
        <v>83</v>
      </c>
      <c r="D34" s="3" t="s">
        <v>50</v>
      </c>
      <c r="E34" s="3" t="s">
        <v>19</v>
      </c>
      <c r="F34" s="6">
        <v>270</v>
      </c>
      <c r="G34" s="4">
        <v>46292</v>
      </c>
      <c r="H34" s="3" t="s">
        <v>9</v>
      </c>
    </row>
    <row r="35" spans="1:8" x14ac:dyDescent="0.25">
      <c r="A35" s="2">
        <v>4036</v>
      </c>
      <c r="B35" s="2" t="s">
        <v>84</v>
      </c>
      <c r="C35" s="3" t="s">
        <v>85</v>
      </c>
      <c r="D35" s="3" t="s">
        <v>51</v>
      </c>
      <c r="E35" s="3" t="s">
        <v>16</v>
      </c>
      <c r="F35" s="6">
        <v>290</v>
      </c>
      <c r="G35" s="4">
        <v>46300</v>
      </c>
      <c r="H35" s="12" t="s">
        <v>75</v>
      </c>
    </row>
    <row r="36" spans="1:8" x14ac:dyDescent="0.25">
      <c r="A36" s="2">
        <v>4037</v>
      </c>
      <c r="B36" s="2" t="s">
        <v>86</v>
      </c>
      <c r="C36" s="3" t="s">
        <v>87</v>
      </c>
      <c r="D36" s="3" t="s">
        <v>52</v>
      </c>
      <c r="E36" s="3" t="s">
        <v>18</v>
      </c>
      <c r="F36" s="6">
        <v>480</v>
      </c>
      <c r="G36" s="4">
        <v>46308</v>
      </c>
      <c r="H36" s="3" t="s">
        <v>8</v>
      </c>
    </row>
    <row r="37" spans="1:8" x14ac:dyDescent="0.25">
      <c r="A37" s="2">
        <v>4038</v>
      </c>
      <c r="B37" s="2" t="s">
        <v>88</v>
      </c>
      <c r="C37" s="3" t="s">
        <v>89</v>
      </c>
      <c r="D37" s="3" t="s">
        <v>53</v>
      </c>
      <c r="E37" s="3" t="s">
        <v>19</v>
      </c>
      <c r="F37" s="6">
        <v>240</v>
      </c>
      <c r="G37" s="4">
        <v>46316</v>
      </c>
      <c r="H37" s="3" t="s">
        <v>9</v>
      </c>
    </row>
    <row r="38" spans="1:8" x14ac:dyDescent="0.25">
      <c r="A38" s="2">
        <v>4039</v>
      </c>
      <c r="B38" s="2" t="s">
        <v>90</v>
      </c>
      <c r="C38" s="3" t="s">
        <v>91</v>
      </c>
      <c r="D38" s="3" t="s">
        <v>54</v>
      </c>
      <c r="E38" s="3" t="s">
        <v>16</v>
      </c>
      <c r="F38" s="6">
        <v>330</v>
      </c>
      <c r="G38" s="4">
        <v>46324</v>
      </c>
      <c r="H38" s="12" t="s">
        <v>75</v>
      </c>
    </row>
    <row r="39" spans="1:8" x14ac:dyDescent="0.25">
      <c r="A39" s="2">
        <v>4040</v>
      </c>
      <c r="B39" s="2" t="s">
        <v>92</v>
      </c>
      <c r="C39" s="3" t="s">
        <v>93</v>
      </c>
      <c r="D39" s="3" t="s">
        <v>55</v>
      </c>
      <c r="E39" s="3" t="s">
        <v>18</v>
      </c>
      <c r="F39" s="6">
        <v>470</v>
      </c>
      <c r="G39" s="4">
        <v>46332</v>
      </c>
      <c r="H39" s="3" t="s">
        <v>8</v>
      </c>
    </row>
    <row r="40" spans="1:8" x14ac:dyDescent="0.25">
      <c r="A40" s="2">
        <v>4041</v>
      </c>
      <c r="B40" s="2" t="s">
        <v>94</v>
      </c>
      <c r="C40" s="3" t="s">
        <v>95</v>
      </c>
      <c r="D40" s="3" t="s">
        <v>56</v>
      </c>
      <c r="E40" s="3" t="s">
        <v>19</v>
      </c>
      <c r="F40" s="6">
        <v>210</v>
      </c>
      <c r="G40" s="4">
        <v>46340</v>
      </c>
      <c r="H40" s="3" t="s">
        <v>9</v>
      </c>
    </row>
    <row r="41" spans="1:8" x14ac:dyDescent="0.25">
      <c r="A41" s="2">
        <v>4042</v>
      </c>
      <c r="B41" s="2" t="s">
        <v>96</v>
      </c>
      <c r="C41" s="3" t="s">
        <v>97</v>
      </c>
      <c r="D41" s="3" t="s">
        <v>57</v>
      </c>
      <c r="E41" s="3" t="s">
        <v>16</v>
      </c>
      <c r="F41" s="6">
        <v>300</v>
      </c>
      <c r="G41" s="4">
        <v>46348</v>
      </c>
      <c r="H41" s="12" t="s">
        <v>75</v>
      </c>
    </row>
    <row r="42" spans="1:8" x14ac:dyDescent="0.25">
      <c r="A42" s="2">
        <v>4043</v>
      </c>
      <c r="B42" s="2" t="s">
        <v>78</v>
      </c>
      <c r="C42" s="3" t="s">
        <v>79</v>
      </c>
      <c r="D42" s="3" t="s">
        <v>58</v>
      </c>
      <c r="E42" s="3" t="s">
        <v>18</v>
      </c>
      <c r="F42" s="6">
        <v>490</v>
      </c>
      <c r="G42" s="4">
        <v>46356</v>
      </c>
      <c r="H42" s="3" t="s">
        <v>8</v>
      </c>
    </row>
    <row r="43" spans="1:8" x14ac:dyDescent="0.25">
      <c r="A43" s="2">
        <v>4044</v>
      </c>
      <c r="B43" s="2" t="s">
        <v>80</v>
      </c>
      <c r="C43" s="3" t="s">
        <v>81</v>
      </c>
      <c r="D43" s="3" t="s">
        <v>59</v>
      </c>
      <c r="E43" s="3" t="s">
        <v>19</v>
      </c>
      <c r="F43" s="6">
        <v>260</v>
      </c>
      <c r="G43" s="4">
        <v>46364</v>
      </c>
      <c r="H43" s="3" t="s">
        <v>9</v>
      </c>
    </row>
    <row r="44" spans="1:8" x14ac:dyDescent="0.25">
      <c r="A44" s="2">
        <v>4045</v>
      </c>
      <c r="B44" s="2" t="s">
        <v>82</v>
      </c>
      <c r="C44" s="3" t="s">
        <v>83</v>
      </c>
      <c r="D44" s="3" t="s">
        <v>60</v>
      </c>
      <c r="E44" s="3" t="s">
        <v>16</v>
      </c>
      <c r="F44" s="6">
        <v>340</v>
      </c>
      <c r="G44" s="4">
        <v>46372</v>
      </c>
      <c r="H44" s="12" t="s">
        <v>75</v>
      </c>
    </row>
    <row r="45" spans="1:8" x14ac:dyDescent="0.25">
      <c r="A45" s="2">
        <v>4046</v>
      </c>
      <c r="B45" s="2" t="s">
        <v>84</v>
      </c>
      <c r="C45" s="3" t="s">
        <v>85</v>
      </c>
      <c r="D45" s="3" t="s">
        <v>61</v>
      </c>
      <c r="E45" s="3" t="s">
        <v>18</v>
      </c>
      <c r="F45" s="6">
        <v>450</v>
      </c>
      <c r="G45" s="4">
        <v>46380</v>
      </c>
      <c r="H45" s="3" t="s">
        <v>8</v>
      </c>
    </row>
    <row r="46" spans="1:8" x14ac:dyDescent="0.25">
      <c r="A46" s="2">
        <v>4047</v>
      </c>
      <c r="B46" s="2" t="s">
        <v>86</v>
      </c>
      <c r="C46" s="3" t="s">
        <v>87</v>
      </c>
      <c r="D46" s="3" t="s">
        <v>62</v>
      </c>
      <c r="E46" s="3" t="s">
        <v>19</v>
      </c>
      <c r="F46" s="6">
        <v>280</v>
      </c>
      <c r="G46" s="4">
        <v>46384</v>
      </c>
      <c r="H46" s="3" t="s">
        <v>9</v>
      </c>
    </row>
    <row r="47" spans="1:8" x14ac:dyDescent="0.25">
      <c r="A47" s="2">
        <v>4048</v>
      </c>
      <c r="B47" s="2" t="s">
        <v>88</v>
      </c>
      <c r="C47" s="3" t="s">
        <v>89</v>
      </c>
      <c r="D47" s="3" t="s">
        <v>63</v>
      </c>
      <c r="E47" s="3" t="s">
        <v>16</v>
      </c>
      <c r="F47" s="6">
        <v>310</v>
      </c>
      <c r="G47" s="4">
        <v>46385</v>
      </c>
      <c r="H47" s="12" t="s">
        <v>75</v>
      </c>
    </row>
    <row r="48" spans="1:8" x14ac:dyDescent="0.25">
      <c r="A48" s="2">
        <v>4049</v>
      </c>
      <c r="B48" s="2" t="s">
        <v>90</v>
      </c>
      <c r="C48" s="3" t="s">
        <v>91</v>
      </c>
      <c r="D48" s="3" t="s">
        <v>64</v>
      </c>
      <c r="E48" s="3" t="s">
        <v>18</v>
      </c>
      <c r="F48" s="6">
        <v>430</v>
      </c>
      <c r="G48" s="4">
        <v>46386</v>
      </c>
      <c r="H48" s="3" t="s">
        <v>8</v>
      </c>
    </row>
    <row r="49" spans="1:8" x14ac:dyDescent="0.25">
      <c r="A49" s="2">
        <v>4050</v>
      </c>
      <c r="B49" s="2" t="s">
        <v>92</v>
      </c>
      <c r="C49" s="3" t="s">
        <v>93</v>
      </c>
      <c r="D49" s="3" t="s">
        <v>65</v>
      </c>
      <c r="E49" s="3" t="s">
        <v>19</v>
      </c>
      <c r="F49" s="6">
        <v>270</v>
      </c>
      <c r="G49" s="4">
        <v>46387</v>
      </c>
      <c r="H49" s="3" t="s">
        <v>9</v>
      </c>
    </row>
    <row r="50" spans="1:8" x14ac:dyDescent="0.25">
      <c r="A50" s="2">
        <v>4051</v>
      </c>
      <c r="B50" s="2" t="s">
        <v>94</v>
      </c>
      <c r="C50" s="3" t="s">
        <v>95</v>
      </c>
      <c r="D50" s="3" t="s">
        <v>66</v>
      </c>
      <c r="E50" s="3" t="s">
        <v>16</v>
      </c>
      <c r="F50" s="6">
        <v>220</v>
      </c>
      <c r="G50" s="4">
        <v>46037</v>
      </c>
      <c r="H50" s="12" t="s">
        <v>75</v>
      </c>
    </row>
    <row r="51" spans="1:8" x14ac:dyDescent="0.25">
      <c r="A51" s="2">
        <v>4052</v>
      </c>
      <c r="B51" s="2" t="s">
        <v>96</v>
      </c>
      <c r="C51" s="3" t="s">
        <v>97</v>
      </c>
      <c r="D51" s="3" t="s">
        <v>67</v>
      </c>
      <c r="E51" s="3" t="s">
        <v>18</v>
      </c>
      <c r="F51" s="6">
        <v>310</v>
      </c>
      <c r="G51" s="4">
        <v>46075</v>
      </c>
      <c r="H51" s="3" t="s">
        <v>8</v>
      </c>
    </row>
    <row r="52" spans="1:8" x14ac:dyDescent="0.25">
      <c r="A52" s="2">
        <v>4053</v>
      </c>
      <c r="B52" s="2" t="s">
        <v>78</v>
      </c>
      <c r="C52" s="3" t="s">
        <v>79</v>
      </c>
      <c r="D52" s="3" t="s">
        <v>68</v>
      </c>
      <c r="E52" s="3" t="s">
        <v>19</v>
      </c>
      <c r="F52" s="6">
        <v>450</v>
      </c>
      <c r="G52" s="4">
        <v>46093</v>
      </c>
      <c r="H52" s="3" t="s">
        <v>9</v>
      </c>
    </row>
    <row r="53" spans="1:8" x14ac:dyDescent="0.25">
      <c r="A53" s="2">
        <v>4054</v>
      </c>
      <c r="B53" s="2" t="s">
        <v>80</v>
      </c>
      <c r="C53" s="3" t="s">
        <v>81</v>
      </c>
      <c r="D53" s="3" t="s">
        <v>6</v>
      </c>
      <c r="E53" s="3" t="s">
        <v>16</v>
      </c>
      <c r="F53" s="6">
        <v>280</v>
      </c>
      <c r="G53" s="4">
        <v>46137</v>
      </c>
      <c r="H53" s="12" t="s">
        <v>75</v>
      </c>
    </row>
    <row r="54" spans="1:8" x14ac:dyDescent="0.25">
      <c r="A54" s="2">
        <v>4055</v>
      </c>
      <c r="B54" s="2" t="s">
        <v>82</v>
      </c>
      <c r="C54" s="3" t="s">
        <v>83</v>
      </c>
      <c r="D54" s="3" t="s">
        <v>69</v>
      </c>
      <c r="E54" s="3" t="s">
        <v>18</v>
      </c>
      <c r="F54" s="6">
        <v>330</v>
      </c>
      <c r="G54" s="4">
        <v>46156</v>
      </c>
      <c r="H54" s="3" t="s">
        <v>8</v>
      </c>
    </row>
    <row r="55" spans="1:8" x14ac:dyDescent="0.25">
      <c r="A55" s="2">
        <v>4056</v>
      </c>
      <c r="B55" s="2" t="s">
        <v>84</v>
      </c>
      <c r="C55" s="3" t="s">
        <v>85</v>
      </c>
      <c r="D55" s="3" t="s">
        <v>70</v>
      </c>
      <c r="E55" s="3" t="s">
        <v>19</v>
      </c>
      <c r="F55" s="6">
        <v>490</v>
      </c>
      <c r="G55" s="4">
        <v>46192</v>
      </c>
      <c r="H55" s="3" t="s">
        <v>9</v>
      </c>
    </row>
    <row r="56" spans="1:8" x14ac:dyDescent="0.25">
      <c r="A56" s="2">
        <v>4057</v>
      </c>
      <c r="B56" s="2" t="s">
        <v>86</v>
      </c>
      <c r="C56" s="3" t="s">
        <v>87</v>
      </c>
      <c r="D56" s="3" t="s">
        <v>71</v>
      </c>
      <c r="E56" s="3" t="s">
        <v>16</v>
      </c>
      <c r="F56" s="6">
        <v>240</v>
      </c>
      <c r="G56" s="4">
        <v>46210</v>
      </c>
      <c r="H56" s="12" t="s">
        <v>75</v>
      </c>
    </row>
    <row r="57" spans="1:8" x14ac:dyDescent="0.25">
      <c r="A57" s="2">
        <v>4058</v>
      </c>
      <c r="B57" s="2" t="s">
        <v>88</v>
      </c>
      <c r="C57" s="3" t="s">
        <v>89</v>
      </c>
      <c r="D57" s="3" t="s">
        <v>72</v>
      </c>
      <c r="E57" s="3" t="s">
        <v>18</v>
      </c>
      <c r="F57" s="6">
        <v>300</v>
      </c>
      <c r="G57" s="4">
        <v>46245</v>
      </c>
      <c r="H57" s="3" t="s">
        <v>8</v>
      </c>
    </row>
    <row r="58" spans="1:8" x14ac:dyDescent="0.25">
      <c r="A58" s="2">
        <v>4059</v>
      </c>
      <c r="B58" s="2" t="s">
        <v>90</v>
      </c>
      <c r="C58" s="3" t="s">
        <v>91</v>
      </c>
      <c r="D58" s="3" t="s">
        <v>73</v>
      </c>
      <c r="E58" s="3" t="s">
        <v>19</v>
      </c>
      <c r="F58" s="6">
        <v>470</v>
      </c>
      <c r="G58" s="4">
        <v>46286</v>
      </c>
      <c r="H58" s="3" t="s">
        <v>9</v>
      </c>
    </row>
    <row r="59" spans="1:8" x14ac:dyDescent="0.25">
      <c r="A59" s="2">
        <v>4060</v>
      </c>
      <c r="B59" s="2" t="s">
        <v>92</v>
      </c>
      <c r="C59" s="3" t="s">
        <v>93</v>
      </c>
      <c r="D59" s="3" t="s">
        <v>74</v>
      </c>
      <c r="E59" s="3" t="s">
        <v>16</v>
      </c>
      <c r="F59" s="6">
        <v>260</v>
      </c>
      <c r="G59" s="4">
        <v>46300</v>
      </c>
      <c r="H59" s="12"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EE74-0DCF-41E3-AE62-6756D6E2B082}">
  <dimension ref="A1:L59"/>
  <sheetViews>
    <sheetView topLeftCell="A39" workbookViewId="0">
      <selection sqref="A1:H59"/>
    </sheetView>
  </sheetViews>
  <sheetFormatPr defaultRowHeight="15" x14ac:dyDescent="0.25"/>
  <cols>
    <col min="1" max="1" width="10.140625" customWidth="1"/>
    <col min="2" max="2" width="14.5703125" customWidth="1"/>
    <col min="3" max="3" width="18.42578125" customWidth="1"/>
    <col min="4" max="4" width="11.7109375" customWidth="1"/>
    <col min="5" max="5" width="9.7109375" customWidth="1"/>
    <col min="6" max="6" width="15.42578125" customWidth="1"/>
    <col min="7" max="7" width="12.42578125" customWidth="1"/>
    <col min="8" max="8" width="17.5703125" customWidth="1"/>
    <col min="11" max="11" width="16.5703125" customWidth="1"/>
    <col min="12" max="12" width="18.85546875" customWidth="1"/>
  </cols>
  <sheetData>
    <row r="1" spans="1:12" x14ac:dyDescent="0.25">
      <c r="A1" s="16" t="s">
        <v>10</v>
      </c>
      <c r="B1" s="17" t="s">
        <v>76</v>
      </c>
      <c r="C1" s="17" t="s">
        <v>77</v>
      </c>
      <c r="D1" s="17" t="s">
        <v>11</v>
      </c>
      <c r="E1" s="17" t="s">
        <v>12</v>
      </c>
      <c r="F1" s="17" t="s">
        <v>13</v>
      </c>
      <c r="G1" s="17" t="s">
        <v>14</v>
      </c>
      <c r="H1" s="18" t="s">
        <v>1</v>
      </c>
    </row>
    <row r="2" spans="1:12" ht="15.75" thickBot="1" x14ac:dyDescent="0.3">
      <c r="A2" s="13">
        <v>4001</v>
      </c>
      <c r="B2" s="2" t="s">
        <v>78</v>
      </c>
      <c r="C2" s="3" t="s">
        <v>79</v>
      </c>
      <c r="D2" s="3" t="s">
        <v>15</v>
      </c>
      <c r="E2" s="3" t="s">
        <v>16</v>
      </c>
      <c r="F2" s="6">
        <v>250</v>
      </c>
      <c r="G2" s="4">
        <v>46027</v>
      </c>
      <c r="H2" s="14" t="s">
        <v>8</v>
      </c>
    </row>
    <row r="3" spans="1:12" ht="15.75" thickBot="1" x14ac:dyDescent="0.3">
      <c r="A3" s="13">
        <v>4002</v>
      </c>
      <c r="B3" s="2" t="s">
        <v>80</v>
      </c>
      <c r="C3" s="3" t="s">
        <v>81</v>
      </c>
      <c r="D3" s="3" t="s">
        <v>17</v>
      </c>
      <c r="E3" s="3" t="s">
        <v>18</v>
      </c>
      <c r="F3" s="6">
        <v>320</v>
      </c>
      <c r="G3" s="4">
        <v>46034</v>
      </c>
      <c r="H3" s="14" t="s">
        <v>9</v>
      </c>
      <c r="K3" s="39" t="s">
        <v>98</v>
      </c>
      <c r="L3" s="40"/>
    </row>
    <row r="4" spans="1:12" x14ac:dyDescent="0.25">
      <c r="A4" s="13">
        <v>4003</v>
      </c>
      <c r="B4" s="2" t="s">
        <v>82</v>
      </c>
      <c r="C4" s="3" t="s">
        <v>83</v>
      </c>
      <c r="D4" s="3" t="s">
        <v>7</v>
      </c>
      <c r="E4" s="3" t="s">
        <v>19</v>
      </c>
      <c r="F4" s="6">
        <v>450</v>
      </c>
      <c r="G4" s="4">
        <v>46042</v>
      </c>
      <c r="H4" s="15" t="s">
        <v>75</v>
      </c>
      <c r="K4" s="17" t="s">
        <v>76</v>
      </c>
      <c r="L4" s="17" t="s">
        <v>77</v>
      </c>
    </row>
    <row r="5" spans="1:12" x14ac:dyDescent="0.25">
      <c r="A5" s="13">
        <v>4004</v>
      </c>
      <c r="B5" s="2" t="s">
        <v>84</v>
      </c>
      <c r="C5" s="3" t="s">
        <v>85</v>
      </c>
      <c r="D5" s="3" t="s">
        <v>20</v>
      </c>
      <c r="E5" s="3" t="s">
        <v>16</v>
      </c>
      <c r="F5" s="6">
        <v>290</v>
      </c>
      <c r="G5" s="4">
        <v>46050</v>
      </c>
      <c r="H5" s="14" t="s">
        <v>8</v>
      </c>
      <c r="K5" s="25" t="s">
        <v>86</v>
      </c>
      <c r="L5" s="25" t="str">
        <f>VLOOKUP(K5,Restaurant_Details[[#All],[RestaurantID]:[Delivery Partner]],2,FALSE)</f>
        <v>Bamboo Garden</v>
      </c>
    </row>
    <row r="6" spans="1:12" x14ac:dyDescent="0.25">
      <c r="A6" s="13">
        <v>4005</v>
      </c>
      <c r="B6" s="2" t="s">
        <v>86</v>
      </c>
      <c r="C6" s="3" t="s">
        <v>87</v>
      </c>
      <c r="D6" s="3" t="s">
        <v>21</v>
      </c>
      <c r="E6" s="3" t="s">
        <v>18</v>
      </c>
      <c r="F6" s="6">
        <v>500</v>
      </c>
      <c r="G6" s="4">
        <v>46055</v>
      </c>
      <c r="H6" s="14" t="s">
        <v>9</v>
      </c>
    </row>
    <row r="7" spans="1:12" ht="15.75" thickBot="1" x14ac:dyDescent="0.3">
      <c r="A7" s="13">
        <v>4006</v>
      </c>
      <c r="B7" s="2" t="s">
        <v>88</v>
      </c>
      <c r="C7" s="3" t="s">
        <v>89</v>
      </c>
      <c r="D7" s="3" t="s">
        <v>22</v>
      </c>
      <c r="E7" s="3" t="s">
        <v>18</v>
      </c>
      <c r="F7" s="6">
        <v>310</v>
      </c>
      <c r="G7" s="4">
        <v>46071</v>
      </c>
      <c r="H7" s="14" t="s">
        <v>8</v>
      </c>
    </row>
    <row r="8" spans="1:12" ht="15.75" thickBot="1" x14ac:dyDescent="0.3">
      <c r="A8" s="13">
        <v>4008</v>
      </c>
      <c r="B8" s="2" t="s">
        <v>90</v>
      </c>
      <c r="C8" s="3" t="s">
        <v>91</v>
      </c>
      <c r="D8" s="3" t="s">
        <v>23</v>
      </c>
      <c r="E8" s="3" t="s">
        <v>16</v>
      </c>
      <c r="F8" s="6">
        <v>180</v>
      </c>
      <c r="G8" s="4">
        <v>46078</v>
      </c>
      <c r="H8" s="14" t="s">
        <v>9</v>
      </c>
      <c r="K8" s="39" t="s">
        <v>99</v>
      </c>
      <c r="L8" s="40"/>
    </row>
    <row r="9" spans="1:12" x14ac:dyDescent="0.25">
      <c r="A9" s="13">
        <v>4009</v>
      </c>
      <c r="B9" s="2" t="s">
        <v>92</v>
      </c>
      <c r="C9" s="3" t="s">
        <v>93</v>
      </c>
      <c r="D9" s="3" t="s">
        <v>24</v>
      </c>
      <c r="E9" s="3" t="s">
        <v>19</v>
      </c>
      <c r="F9" s="6">
        <v>410</v>
      </c>
      <c r="G9" s="4">
        <v>46084</v>
      </c>
      <c r="H9" s="15" t="s">
        <v>75</v>
      </c>
      <c r="K9" s="17" t="s">
        <v>76</v>
      </c>
      <c r="L9" s="17" t="s">
        <v>77</v>
      </c>
    </row>
    <row r="10" spans="1:12" x14ac:dyDescent="0.25">
      <c r="A10" s="13">
        <v>4010</v>
      </c>
      <c r="B10" s="2" t="s">
        <v>94</v>
      </c>
      <c r="C10" s="3" t="s">
        <v>95</v>
      </c>
      <c r="D10" s="3" t="s">
        <v>25</v>
      </c>
      <c r="E10" s="3" t="s">
        <v>16</v>
      </c>
      <c r="F10" s="6">
        <v>270</v>
      </c>
      <c r="G10" s="4">
        <v>46092</v>
      </c>
      <c r="H10" s="14" t="s">
        <v>8</v>
      </c>
      <c r="K10" s="25" t="s">
        <v>86</v>
      </c>
      <c r="L10" s="25" t="str" cm="1">
        <f t="array" ref="L10">_xlfn.XLOOKUP(K10,Restaurant_Details[[#All],[RestaurantID]],Restaurant_Details[[#All],[Restaurant Name]],"-",0,1)</f>
        <v>Bamboo Garden</v>
      </c>
    </row>
    <row r="11" spans="1:12" x14ac:dyDescent="0.25">
      <c r="A11" s="13">
        <v>4011</v>
      </c>
      <c r="B11" s="2" t="s">
        <v>96</v>
      </c>
      <c r="C11" s="3" t="s">
        <v>97</v>
      </c>
      <c r="D11" s="3" t="s">
        <v>26</v>
      </c>
      <c r="E11" s="3" t="s">
        <v>18</v>
      </c>
      <c r="F11" s="6">
        <v>330</v>
      </c>
      <c r="G11" s="4">
        <v>46100</v>
      </c>
      <c r="H11" s="14" t="s">
        <v>9</v>
      </c>
    </row>
    <row r="12" spans="1:12" x14ac:dyDescent="0.25">
      <c r="A12" s="13">
        <v>4012</v>
      </c>
      <c r="B12" s="2" t="s">
        <v>78</v>
      </c>
      <c r="C12" s="3" t="s">
        <v>79</v>
      </c>
      <c r="D12" s="3" t="s">
        <v>27</v>
      </c>
      <c r="E12" s="3" t="s">
        <v>16</v>
      </c>
      <c r="F12" s="6">
        <v>240</v>
      </c>
      <c r="G12" s="4">
        <v>46108</v>
      </c>
      <c r="H12" s="15" t="s">
        <v>75</v>
      </c>
    </row>
    <row r="13" spans="1:12" x14ac:dyDescent="0.25">
      <c r="A13" s="13">
        <v>4013</v>
      </c>
      <c r="B13" s="2" t="s">
        <v>80</v>
      </c>
      <c r="C13" s="3" t="s">
        <v>81</v>
      </c>
      <c r="D13" s="3" t="s">
        <v>28</v>
      </c>
      <c r="E13" s="3" t="s">
        <v>18</v>
      </c>
      <c r="F13" s="6">
        <v>350</v>
      </c>
      <c r="G13" s="4">
        <v>46116</v>
      </c>
      <c r="H13" s="14" t="s">
        <v>8</v>
      </c>
    </row>
    <row r="14" spans="1:12" x14ac:dyDescent="0.25">
      <c r="A14" s="13">
        <v>4014</v>
      </c>
      <c r="B14" s="2" t="s">
        <v>82</v>
      </c>
      <c r="C14" s="3" t="s">
        <v>83</v>
      </c>
      <c r="D14" s="3" t="s">
        <v>29</v>
      </c>
      <c r="E14" s="3" t="s">
        <v>19</v>
      </c>
      <c r="F14" s="6">
        <v>480</v>
      </c>
      <c r="G14" s="4">
        <v>46124</v>
      </c>
      <c r="H14" s="14" t="s">
        <v>9</v>
      </c>
    </row>
    <row r="15" spans="1:12" x14ac:dyDescent="0.25">
      <c r="A15" s="13">
        <v>4015</v>
      </c>
      <c r="B15" s="2" t="s">
        <v>84</v>
      </c>
      <c r="C15" s="3" t="s">
        <v>85</v>
      </c>
      <c r="D15" s="3" t="s">
        <v>30</v>
      </c>
      <c r="E15" s="3" t="s">
        <v>16</v>
      </c>
      <c r="F15" s="6">
        <v>460</v>
      </c>
      <c r="G15" s="4">
        <v>46132</v>
      </c>
      <c r="H15" s="15" t="s">
        <v>75</v>
      </c>
    </row>
    <row r="16" spans="1:12" x14ac:dyDescent="0.25">
      <c r="A16" s="13">
        <v>4016</v>
      </c>
      <c r="B16" s="2" t="s">
        <v>86</v>
      </c>
      <c r="C16" s="3" t="s">
        <v>87</v>
      </c>
      <c r="D16" s="3" t="s">
        <v>31</v>
      </c>
      <c r="E16" s="3" t="s">
        <v>16</v>
      </c>
      <c r="F16" s="6">
        <v>260</v>
      </c>
      <c r="G16" s="4">
        <v>46140</v>
      </c>
      <c r="H16" s="14" t="s">
        <v>8</v>
      </c>
    </row>
    <row r="17" spans="1:8" x14ac:dyDescent="0.25">
      <c r="A17" s="13">
        <v>4017</v>
      </c>
      <c r="B17" s="2" t="s">
        <v>88</v>
      </c>
      <c r="C17" s="3" t="s">
        <v>89</v>
      </c>
      <c r="D17" s="3" t="s">
        <v>32</v>
      </c>
      <c r="E17" s="3" t="s">
        <v>18</v>
      </c>
      <c r="F17" s="6">
        <v>420</v>
      </c>
      <c r="G17" s="4">
        <v>46148</v>
      </c>
      <c r="H17" s="14" t="s">
        <v>9</v>
      </c>
    </row>
    <row r="18" spans="1:8" x14ac:dyDescent="0.25">
      <c r="A18" s="13">
        <v>4018</v>
      </c>
      <c r="B18" s="2" t="s">
        <v>90</v>
      </c>
      <c r="C18" s="3" t="s">
        <v>91</v>
      </c>
      <c r="D18" s="3" t="s">
        <v>33</v>
      </c>
      <c r="E18" s="3" t="s">
        <v>19</v>
      </c>
      <c r="F18" s="6">
        <v>210</v>
      </c>
      <c r="G18" s="4">
        <v>46156</v>
      </c>
      <c r="H18" s="15" t="s">
        <v>75</v>
      </c>
    </row>
    <row r="19" spans="1:8" x14ac:dyDescent="0.25">
      <c r="A19" s="13">
        <v>4019</v>
      </c>
      <c r="B19" s="2" t="s">
        <v>92</v>
      </c>
      <c r="C19" s="3" t="s">
        <v>93</v>
      </c>
      <c r="D19" s="3" t="s">
        <v>34</v>
      </c>
      <c r="E19" s="3" t="s">
        <v>16</v>
      </c>
      <c r="F19" s="6">
        <v>280</v>
      </c>
      <c r="G19" s="4">
        <v>46164</v>
      </c>
      <c r="H19" s="14" t="s">
        <v>8</v>
      </c>
    </row>
    <row r="20" spans="1:8" x14ac:dyDescent="0.25">
      <c r="A20" s="13">
        <v>4020</v>
      </c>
      <c r="B20" s="2" t="s">
        <v>94</v>
      </c>
      <c r="C20" s="3" t="s">
        <v>95</v>
      </c>
      <c r="D20" s="3" t="s">
        <v>35</v>
      </c>
      <c r="E20" s="3" t="s">
        <v>18</v>
      </c>
      <c r="F20" s="6">
        <v>470</v>
      </c>
      <c r="G20" s="4">
        <v>46172</v>
      </c>
      <c r="H20" s="14" t="s">
        <v>9</v>
      </c>
    </row>
    <row r="21" spans="1:8" x14ac:dyDescent="0.25">
      <c r="A21" s="13">
        <v>4021</v>
      </c>
      <c r="B21" s="2" t="s">
        <v>96</v>
      </c>
      <c r="C21" s="3" t="s">
        <v>97</v>
      </c>
      <c r="D21" s="3" t="s">
        <v>36</v>
      </c>
      <c r="E21" s="3" t="s">
        <v>19</v>
      </c>
      <c r="F21" s="6">
        <v>230</v>
      </c>
      <c r="G21" s="4">
        <v>46180</v>
      </c>
      <c r="H21" s="15" t="s">
        <v>75</v>
      </c>
    </row>
    <row r="22" spans="1:8" x14ac:dyDescent="0.25">
      <c r="A22" s="13">
        <v>4022</v>
      </c>
      <c r="B22" s="2" t="s">
        <v>78</v>
      </c>
      <c r="C22" s="3" t="s">
        <v>79</v>
      </c>
      <c r="D22" s="3" t="s">
        <v>37</v>
      </c>
      <c r="E22" s="3" t="s">
        <v>16</v>
      </c>
      <c r="F22" s="6">
        <v>310</v>
      </c>
      <c r="G22" s="4">
        <v>46188</v>
      </c>
      <c r="H22" s="14" t="s">
        <v>8</v>
      </c>
    </row>
    <row r="23" spans="1:8" x14ac:dyDescent="0.25">
      <c r="A23" s="13">
        <v>4023</v>
      </c>
      <c r="B23" s="2" t="s">
        <v>80</v>
      </c>
      <c r="C23" s="3" t="s">
        <v>81</v>
      </c>
      <c r="D23" s="3" t="s">
        <v>38</v>
      </c>
      <c r="E23" s="3" t="s">
        <v>18</v>
      </c>
      <c r="F23" s="6">
        <v>440</v>
      </c>
      <c r="G23" s="4">
        <v>46196</v>
      </c>
      <c r="H23" s="14" t="s">
        <v>9</v>
      </c>
    </row>
    <row r="24" spans="1:8" x14ac:dyDescent="0.25">
      <c r="A24" s="13">
        <v>4024</v>
      </c>
      <c r="B24" s="2" t="s">
        <v>82</v>
      </c>
      <c r="C24" s="3" t="s">
        <v>83</v>
      </c>
      <c r="D24" s="3" t="s">
        <v>39</v>
      </c>
      <c r="E24" s="3" t="s">
        <v>19</v>
      </c>
      <c r="F24" s="6">
        <v>260</v>
      </c>
      <c r="G24" s="4">
        <v>46204</v>
      </c>
      <c r="H24" s="15" t="s">
        <v>75</v>
      </c>
    </row>
    <row r="25" spans="1:8" x14ac:dyDescent="0.25">
      <c r="A25" s="13">
        <v>4027</v>
      </c>
      <c r="B25" s="2" t="s">
        <v>84</v>
      </c>
      <c r="C25" s="3" t="s">
        <v>85</v>
      </c>
      <c r="D25" s="3" t="s">
        <v>42</v>
      </c>
      <c r="E25" s="3" t="s">
        <v>16</v>
      </c>
      <c r="F25" s="6">
        <v>220</v>
      </c>
      <c r="G25" s="4">
        <v>46228</v>
      </c>
      <c r="H25" s="15" t="s">
        <v>75</v>
      </c>
    </row>
    <row r="26" spans="1:8" x14ac:dyDescent="0.25">
      <c r="A26" s="13">
        <v>4026</v>
      </c>
      <c r="B26" s="2" t="s">
        <v>86</v>
      </c>
      <c r="C26" s="3" t="s">
        <v>87</v>
      </c>
      <c r="D26" s="3" t="s">
        <v>41</v>
      </c>
      <c r="E26" s="3" t="s">
        <v>18</v>
      </c>
      <c r="F26" s="6">
        <v>490</v>
      </c>
      <c r="G26" s="4">
        <v>46220</v>
      </c>
      <c r="H26" s="14" t="s">
        <v>9</v>
      </c>
    </row>
    <row r="27" spans="1:8" x14ac:dyDescent="0.25">
      <c r="A27" s="13">
        <v>4028</v>
      </c>
      <c r="B27" s="2" t="s">
        <v>88</v>
      </c>
      <c r="C27" s="3" t="s">
        <v>89</v>
      </c>
      <c r="D27" s="3" t="s">
        <v>43</v>
      </c>
      <c r="E27" s="3" t="s">
        <v>18</v>
      </c>
      <c r="F27" s="6">
        <v>300</v>
      </c>
      <c r="G27" s="4">
        <v>46236</v>
      </c>
      <c r="H27" s="14" t="s">
        <v>8</v>
      </c>
    </row>
    <row r="28" spans="1:8" x14ac:dyDescent="0.25">
      <c r="A28" s="13">
        <v>4029</v>
      </c>
      <c r="B28" s="2" t="s">
        <v>90</v>
      </c>
      <c r="C28" s="3" t="s">
        <v>91</v>
      </c>
      <c r="D28" s="3" t="s">
        <v>44</v>
      </c>
      <c r="E28" s="3" t="s">
        <v>19</v>
      </c>
      <c r="F28" s="6">
        <v>450</v>
      </c>
      <c r="G28" s="4">
        <v>46244</v>
      </c>
      <c r="H28" s="14" t="s">
        <v>9</v>
      </c>
    </row>
    <row r="29" spans="1:8" x14ac:dyDescent="0.25">
      <c r="A29" s="13">
        <v>4030</v>
      </c>
      <c r="B29" s="2" t="s">
        <v>92</v>
      </c>
      <c r="C29" s="3" t="s">
        <v>93</v>
      </c>
      <c r="D29" s="3" t="s">
        <v>45</v>
      </c>
      <c r="E29" s="3" t="s">
        <v>16</v>
      </c>
      <c r="F29" s="6">
        <v>280</v>
      </c>
      <c r="G29" s="4">
        <v>46252</v>
      </c>
      <c r="H29" s="15" t="s">
        <v>75</v>
      </c>
    </row>
    <row r="30" spans="1:8" x14ac:dyDescent="0.25">
      <c r="A30" s="13">
        <v>4031</v>
      </c>
      <c r="B30" s="2" t="s">
        <v>94</v>
      </c>
      <c r="C30" s="3" t="s">
        <v>95</v>
      </c>
      <c r="D30" s="3" t="s">
        <v>46</v>
      </c>
      <c r="E30" s="3" t="s">
        <v>18</v>
      </c>
      <c r="F30" s="6">
        <v>460</v>
      </c>
      <c r="G30" s="4">
        <v>46260</v>
      </c>
      <c r="H30" s="14" t="s">
        <v>8</v>
      </c>
    </row>
    <row r="31" spans="1:8" x14ac:dyDescent="0.25">
      <c r="A31" s="13">
        <v>4032</v>
      </c>
      <c r="B31" s="2" t="s">
        <v>96</v>
      </c>
      <c r="C31" s="3" t="s">
        <v>97</v>
      </c>
      <c r="D31" s="3" t="s">
        <v>47</v>
      </c>
      <c r="E31" s="3" t="s">
        <v>19</v>
      </c>
      <c r="F31" s="6">
        <v>250</v>
      </c>
      <c r="G31" s="4">
        <v>46268</v>
      </c>
      <c r="H31" s="14" t="s">
        <v>9</v>
      </c>
    </row>
    <row r="32" spans="1:8" x14ac:dyDescent="0.25">
      <c r="A32" s="13">
        <v>4033</v>
      </c>
      <c r="B32" s="2" t="s">
        <v>78</v>
      </c>
      <c r="C32" s="3" t="s">
        <v>79</v>
      </c>
      <c r="D32" s="3" t="s">
        <v>48</v>
      </c>
      <c r="E32" s="3" t="s">
        <v>16</v>
      </c>
      <c r="F32" s="6">
        <v>310</v>
      </c>
      <c r="G32" s="4">
        <v>46276</v>
      </c>
      <c r="H32" s="15" t="s">
        <v>75</v>
      </c>
    </row>
    <row r="33" spans="1:8" x14ac:dyDescent="0.25">
      <c r="A33" s="13">
        <v>4034</v>
      </c>
      <c r="B33" s="2" t="s">
        <v>80</v>
      </c>
      <c r="C33" s="3" t="s">
        <v>81</v>
      </c>
      <c r="D33" s="3" t="s">
        <v>49</v>
      </c>
      <c r="E33" s="3" t="s">
        <v>18</v>
      </c>
      <c r="F33" s="6">
        <v>430</v>
      </c>
      <c r="G33" s="4">
        <v>46284</v>
      </c>
      <c r="H33" s="14" t="s">
        <v>8</v>
      </c>
    </row>
    <row r="34" spans="1:8" x14ac:dyDescent="0.25">
      <c r="A34" s="13">
        <v>4035</v>
      </c>
      <c r="B34" s="2" t="s">
        <v>82</v>
      </c>
      <c r="C34" s="3" t="s">
        <v>83</v>
      </c>
      <c r="D34" s="3" t="s">
        <v>50</v>
      </c>
      <c r="E34" s="3" t="s">
        <v>19</v>
      </c>
      <c r="F34" s="6">
        <v>270</v>
      </c>
      <c r="G34" s="4">
        <v>46292</v>
      </c>
      <c r="H34" s="14" t="s">
        <v>9</v>
      </c>
    </row>
    <row r="35" spans="1:8" x14ac:dyDescent="0.25">
      <c r="A35" s="13">
        <v>4036</v>
      </c>
      <c r="B35" s="2" t="s">
        <v>84</v>
      </c>
      <c r="C35" s="3" t="s">
        <v>85</v>
      </c>
      <c r="D35" s="3" t="s">
        <v>51</v>
      </c>
      <c r="E35" s="3" t="s">
        <v>16</v>
      </c>
      <c r="F35" s="6">
        <v>290</v>
      </c>
      <c r="G35" s="4">
        <v>46300</v>
      </c>
      <c r="H35" s="15" t="s">
        <v>75</v>
      </c>
    </row>
    <row r="36" spans="1:8" x14ac:dyDescent="0.25">
      <c r="A36" s="13">
        <v>4037</v>
      </c>
      <c r="B36" s="2" t="s">
        <v>86</v>
      </c>
      <c r="C36" s="3" t="s">
        <v>87</v>
      </c>
      <c r="D36" s="3" t="s">
        <v>52</v>
      </c>
      <c r="E36" s="3" t="s">
        <v>18</v>
      </c>
      <c r="F36" s="6">
        <v>480</v>
      </c>
      <c r="G36" s="4">
        <v>46308</v>
      </c>
      <c r="H36" s="14" t="s">
        <v>8</v>
      </c>
    </row>
    <row r="37" spans="1:8" x14ac:dyDescent="0.25">
      <c r="A37" s="13">
        <v>4038</v>
      </c>
      <c r="B37" s="2" t="s">
        <v>88</v>
      </c>
      <c r="C37" s="3" t="s">
        <v>89</v>
      </c>
      <c r="D37" s="3" t="s">
        <v>53</v>
      </c>
      <c r="E37" s="3" t="s">
        <v>19</v>
      </c>
      <c r="F37" s="6">
        <v>240</v>
      </c>
      <c r="G37" s="4">
        <v>46316</v>
      </c>
      <c r="H37" s="14" t="s">
        <v>9</v>
      </c>
    </row>
    <row r="38" spans="1:8" x14ac:dyDescent="0.25">
      <c r="A38" s="13">
        <v>4039</v>
      </c>
      <c r="B38" s="2" t="s">
        <v>90</v>
      </c>
      <c r="C38" s="3" t="s">
        <v>91</v>
      </c>
      <c r="D38" s="3" t="s">
        <v>54</v>
      </c>
      <c r="E38" s="3" t="s">
        <v>16</v>
      </c>
      <c r="F38" s="6">
        <v>330</v>
      </c>
      <c r="G38" s="4">
        <v>46324</v>
      </c>
      <c r="H38" s="15" t="s">
        <v>75</v>
      </c>
    </row>
    <row r="39" spans="1:8" x14ac:dyDescent="0.25">
      <c r="A39" s="13">
        <v>4040</v>
      </c>
      <c r="B39" s="2" t="s">
        <v>92</v>
      </c>
      <c r="C39" s="3" t="s">
        <v>93</v>
      </c>
      <c r="D39" s="3" t="s">
        <v>55</v>
      </c>
      <c r="E39" s="3" t="s">
        <v>18</v>
      </c>
      <c r="F39" s="6">
        <v>470</v>
      </c>
      <c r="G39" s="4">
        <v>46332</v>
      </c>
      <c r="H39" s="14" t="s">
        <v>8</v>
      </c>
    </row>
    <row r="40" spans="1:8" x14ac:dyDescent="0.25">
      <c r="A40" s="13">
        <v>4041</v>
      </c>
      <c r="B40" s="2" t="s">
        <v>94</v>
      </c>
      <c r="C40" s="3" t="s">
        <v>95</v>
      </c>
      <c r="D40" s="3" t="s">
        <v>56</v>
      </c>
      <c r="E40" s="3" t="s">
        <v>19</v>
      </c>
      <c r="F40" s="6">
        <v>210</v>
      </c>
      <c r="G40" s="4">
        <v>46340</v>
      </c>
      <c r="H40" s="14" t="s">
        <v>9</v>
      </c>
    </row>
    <row r="41" spans="1:8" x14ac:dyDescent="0.25">
      <c r="A41" s="13">
        <v>4042</v>
      </c>
      <c r="B41" s="2" t="s">
        <v>96</v>
      </c>
      <c r="C41" s="3" t="s">
        <v>97</v>
      </c>
      <c r="D41" s="3" t="s">
        <v>57</v>
      </c>
      <c r="E41" s="3" t="s">
        <v>16</v>
      </c>
      <c r="F41" s="6">
        <v>300</v>
      </c>
      <c r="G41" s="4">
        <v>46348</v>
      </c>
      <c r="H41" s="15" t="s">
        <v>75</v>
      </c>
    </row>
    <row r="42" spans="1:8" x14ac:dyDescent="0.25">
      <c r="A42" s="13">
        <v>4043</v>
      </c>
      <c r="B42" s="2" t="s">
        <v>78</v>
      </c>
      <c r="C42" s="3" t="s">
        <v>79</v>
      </c>
      <c r="D42" s="3" t="s">
        <v>58</v>
      </c>
      <c r="E42" s="3" t="s">
        <v>18</v>
      </c>
      <c r="F42" s="6">
        <v>490</v>
      </c>
      <c r="G42" s="4">
        <v>46356</v>
      </c>
      <c r="H42" s="14" t="s">
        <v>8</v>
      </c>
    </row>
    <row r="43" spans="1:8" x14ac:dyDescent="0.25">
      <c r="A43" s="13">
        <v>4044</v>
      </c>
      <c r="B43" s="2" t="s">
        <v>80</v>
      </c>
      <c r="C43" s="3" t="s">
        <v>81</v>
      </c>
      <c r="D43" s="3" t="s">
        <v>59</v>
      </c>
      <c r="E43" s="3" t="s">
        <v>19</v>
      </c>
      <c r="F43" s="6">
        <v>260</v>
      </c>
      <c r="G43" s="4">
        <v>46364</v>
      </c>
      <c r="H43" s="14" t="s">
        <v>9</v>
      </c>
    </row>
    <row r="44" spans="1:8" x14ac:dyDescent="0.25">
      <c r="A44" s="13">
        <v>4045</v>
      </c>
      <c r="B44" s="2" t="s">
        <v>82</v>
      </c>
      <c r="C44" s="3" t="s">
        <v>83</v>
      </c>
      <c r="D44" s="3" t="s">
        <v>60</v>
      </c>
      <c r="E44" s="3" t="s">
        <v>16</v>
      </c>
      <c r="F44" s="6">
        <v>340</v>
      </c>
      <c r="G44" s="4">
        <v>46372</v>
      </c>
      <c r="H44" s="15" t="s">
        <v>75</v>
      </c>
    </row>
    <row r="45" spans="1:8" x14ac:dyDescent="0.25">
      <c r="A45" s="13">
        <v>4046</v>
      </c>
      <c r="B45" s="2" t="s">
        <v>84</v>
      </c>
      <c r="C45" s="3" t="s">
        <v>85</v>
      </c>
      <c r="D45" s="3" t="s">
        <v>61</v>
      </c>
      <c r="E45" s="3" t="s">
        <v>18</v>
      </c>
      <c r="F45" s="6">
        <v>450</v>
      </c>
      <c r="G45" s="4">
        <v>46380</v>
      </c>
      <c r="H45" s="14" t="s">
        <v>8</v>
      </c>
    </row>
    <row r="46" spans="1:8" x14ac:dyDescent="0.25">
      <c r="A46" s="13">
        <v>4047</v>
      </c>
      <c r="B46" s="2" t="s">
        <v>86</v>
      </c>
      <c r="C46" s="3" t="s">
        <v>87</v>
      </c>
      <c r="D46" s="3" t="s">
        <v>62</v>
      </c>
      <c r="E46" s="3" t="s">
        <v>19</v>
      </c>
      <c r="F46" s="6">
        <v>280</v>
      </c>
      <c r="G46" s="4">
        <v>46384</v>
      </c>
      <c r="H46" s="14" t="s">
        <v>9</v>
      </c>
    </row>
    <row r="47" spans="1:8" x14ac:dyDescent="0.25">
      <c r="A47" s="13">
        <v>4048</v>
      </c>
      <c r="B47" s="2" t="s">
        <v>88</v>
      </c>
      <c r="C47" s="3" t="s">
        <v>89</v>
      </c>
      <c r="D47" s="3" t="s">
        <v>63</v>
      </c>
      <c r="E47" s="3" t="s">
        <v>16</v>
      </c>
      <c r="F47" s="6">
        <v>310</v>
      </c>
      <c r="G47" s="4">
        <v>46385</v>
      </c>
      <c r="H47" s="15" t="s">
        <v>75</v>
      </c>
    </row>
    <row r="48" spans="1:8" x14ac:dyDescent="0.25">
      <c r="A48" s="13">
        <v>4049</v>
      </c>
      <c r="B48" s="2" t="s">
        <v>90</v>
      </c>
      <c r="C48" s="3" t="s">
        <v>91</v>
      </c>
      <c r="D48" s="3" t="s">
        <v>64</v>
      </c>
      <c r="E48" s="3" t="s">
        <v>18</v>
      </c>
      <c r="F48" s="6">
        <v>430</v>
      </c>
      <c r="G48" s="4">
        <v>46386</v>
      </c>
      <c r="H48" s="14" t="s">
        <v>8</v>
      </c>
    </row>
    <row r="49" spans="1:8" x14ac:dyDescent="0.25">
      <c r="A49" s="13">
        <v>4050</v>
      </c>
      <c r="B49" s="2" t="s">
        <v>92</v>
      </c>
      <c r="C49" s="3" t="s">
        <v>93</v>
      </c>
      <c r="D49" s="3" t="s">
        <v>65</v>
      </c>
      <c r="E49" s="3" t="s">
        <v>19</v>
      </c>
      <c r="F49" s="6">
        <v>270</v>
      </c>
      <c r="G49" s="4">
        <v>46387</v>
      </c>
      <c r="H49" s="14" t="s">
        <v>9</v>
      </c>
    </row>
    <row r="50" spans="1:8" x14ac:dyDescent="0.25">
      <c r="A50" s="13">
        <v>4051</v>
      </c>
      <c r="B50" s="2" t="s">
        <v>94</v>
      </c>
      <c r="C50" s="3" t="s">
        <v>95</v>
      </c>
      <c r="D50" s="3" t="s">
        <v>66</v>
      </c>
      <c r="E50" s="3" t="s">
        <v>16</v>
      </c>
      <c r="F50" s="6">
        <v>220</v>
      </c>
      <c r="G50" s="4">
        <v>46037</v>
      </c>
      <c r="H50" s="15" t="s">
        <v>75</v>
      </c>
    </row>
    <row r="51" spans="1:8" x14ac:dyDescent="0.25">
      <c r="A51" s="13">
        <v>4052</v>
      </c>
      <c r="B51" s="2" t="s">
        <v>96</v>
      </c>
      <c r="C51" s="3" t="s">
        <v>97</v>
      </c>
      <c r="D51" s="3" t="s">
        <v>67</v>
      </c>
      <c r="E51" s="3" t="s">
        <v>18</v>
      </c>
      <c r="F51" s="6">
        <v>310</v>
      </c>
      <c r="G51" s="4">
        <v>46075</v>
      </c>
      <c r="H51" s="14" t="s">
        <v>8</v>
      </c>
    </row>
    <row r="52" spans="1:8" x14ac:dyDescent="0.25">
      <c r="A52" s="13">
        <v>4053</v>
      </c>
      <c r="B52" s="2" t="s">
        <v>78</v>
      </c>
      <c r="C52" s="3" t="s">
        <v>79</v>
      </c>
      <c r="D52" s="3" t="s">
        <v>68</v>
      </c>
      <c r="E52" s="3" t="s">
        <v>19</v>
      </c>
      <c r="F52" s="6">
        <v>450</v>
      </c>
      <c r="G52" s="4">
        <v>46093</v>
      </c>
      <c r="H52" s="14" t="s">
        <v>9</v>
      </c>
    </row>
    <row r="53" spans="1:8" x14ac:dyDescent="0.25">
      <c r="A53" s="13">
        <v>4054</v>
      </c>
      <c r="B53" s="2" t="s">
        <v>80</v>
      </c>
      <c r="C53" s="3" t="s">
        <v>81</v>
      </c>
      <c r="D53" s="3" t="s">
        <v>6</v>
      </c>
      <c r="E53" s="3" t="s">
        <v>16</v>
      </c>
      <c r="F53" s="6">
        <v>280</v>
      </c>
      <c r="G53" s="4">
        <v>46137</v>
      </c>
      <c r="H53" s="15" t="s">
        <v>75</v>
      </c>
    </row>
    <row r="54" spans="1:8" x14ac:dyDescent="0.25">
      <c r="A54" s="13">
        <v>4055</v>
      </c>
      <c r="B54" s="2" t="s">
        <v>82</v>
      </c>
      <c r="C54" s="3" t="s">
        <v>83</v>
      </c>
      <c r="D54" s="3" t="s">
        <v>69</v>
      </c>
      <c r="E54" s="3" t="s">
        <v>18</v>
      </c>
      <c r="F54" s="6">
        <v>330</v>
      </c>
      <c r="G54" s="4">
        <v>46156</v>
      </c>
      <c r="H54" s="14" t="s">
        <v>8</v>
      </c>
    </row>
    <row r="55" spans="1:8" x14ac:dyDescent="0.25">
      <c r="A55" s="13">
        <v>4056</v>
      </c>
      <c r="B55" s="2" t="s">
        <v>84</v>
      </c>
      <c r="C55" s="3" t="s">
        <v>85</v>
      </c>
      <c r="D55" s="3" t="s">
        <v>70</v>
      </c>
      <c r="E55" s="3" t="s">
        <v>19</v>
      </c>
      <c r="F55" s="6">
        <v>490</v>
      </c>
      <c r="G55" s="4">
        <v>46192</v>
      </c>
      <c r="H55" s="14" t="s">
        <v>9</v>
      </c>
    </row>
    <row r="56" spans="1:8" x14ac:dyDescent="0.25">
      <c r="A56" s="13">
        <v>4057</v>
      </c>
      <c r="B56" s="2" t="s">
        <v>86</v>
      </c>
      <c r="C56" s="3" t="s">
        <v>87</v>
      </c>
      <c r="D56" s="3" t="s">
        <v>71</v>
      </c>
      <c r="E56" s="3" t="s">
        <v>16</v>
      </c>
      <c r="F56" s="6">
        <v>240</v>
      </c>
      <c r="G56" s="4">
        <v>46210</v>
      </c>
      <c r="H56" s="15" t="s">
        <v>75</v>
      </c>
    </row>
    <row r="57" spans="1:8" x14ac:dyDescent="0.25">
      <c r="A57" s="13">
        <v>4058</v>
      </c>
      <c r="B57" s="2" t="s">
        <v>88</v>
      </c>
      <c r="C57" s="3" t="s">
        <v>89</v>
      </c>
      <c r="D57" s="3" t="s">
        <v>72</v>
      </c>
      <c r="E57" s="3" t="s">
        <v>18</v>
      </c>
      <c r="F57" s="6">
        <v>300</v>
      </c>
      <c r="G57" s="4">
        <v>46245</v>
      </c>
      <c r="H57" s="14" t="s">
        <v>8</v>
      </c>
    </row>
    <row r="58" spans="1:8" x14ac:dyDescent="0.25">
      <c r="A58" s="13">
        <v>4059</v>
      </c>
      <c r="B58" s="2" t="s">
        <v>90</v>
      </c>
      <c r="C58" s="3" t="s">
        <v>91</v>
      </c>
      <c r="D58" s="3" t="s">
        <v>73</v>
      </c>
      <c r="E58" s="3" t="s">
        <v>19</v>
      </c>
      <c r="F58" s="6">
        <v>470</v>
      </c>
      <c r="G58" s="4">
        <v>46286</v>
      </c>
      <c r="H58" s="14" t="s">
        <v>9</v>
      </c>
    </row>
    <row r="59" spans="1:8" x14ac:dyDescent="0.25">
      <c r="A59" s="19">
        <v>4060</v>
      </c>
      <c r="B59" s="20" t="s">
        <v>92</v>
      </c>
      <c r="C59" s="21" t="s">
        <v>93</v>
      </c>
      <c r="D59" s="21" t="s">
        <v>74</v>
      </c>
      <c r="E59" s="21" t="s">
        <v>16</v>
      </c>
      <c r="F59" s="22">
        <v>260</v>
      </c>
      <c r="G59" s="23">
        <v>46300</v>
      </c>
      <c r="H59" s="24" t="s">
        <v>75</v>
      </c>
    </row>
  </sheetData>
  <mergeCells count="2">
    <mergeCell ref="K3:L3"/>
    <mergeCell ref="K8:L8"/>
  </mergeCells>
  <dataValidations count="1">
    <dataValidation type="list" allowBlank="1" showInputMessage="1" showErrorMessage="1" sqref="K5 K10" xr:uid="{84D29618-24E0-400A-97E1-D59E08D92CDE}">
      <formula1>$B$2:$B$11</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52F14-651C-49A8-B7F2-A5102BA234C9}">
  <dimension ref="A1:L59"/>
  <sheetViews>
    <sheetView topLeftCell="B39" workbookViewId="0">
      <selection sqref="A1:L59"/>
    </sheetView>
  </sheetViews>
  <sheetFormatPr defaultRowHeight="15" x14ac:dyDescent="0.25"/>
  <cols>
    <col min="1" max="1" width="12.5703125" bestFit="1" customWidth="1"/>
    <col min="2" max="2" width="17" bestFit="1" customWidth="1"/>
    <col min="3" max="3" width="21" bestFit="1" customWidth="1"/>
    <col min="4" max="4" width="14.140625" bestFit="1" customWidth="1"/>
    <col min="5" max="5" width="12.140625" bestFit="1" customWidth="1"/>
    <col min="6" max="6" width="11.7109375" bestFit="1" customWidth="1"/>
    <col min="7" max="7" width="18" bestFit="1" customWidth="1"/>
    <col min="8" max="8" width="19.42578125" bestFit="1" customWidth="1"/>
    <col min="9" max="9" width="19" bestFit="1" customWidth="1"/>
    <col min="10" max="10" width="14.85546875" bestFit="1" customWidth="1"/>
    <col min="11" max="11" width="14.28515625" bestFit="1" customWidth="1"/>
    <col min="12" max="12" width="20.140625" bestFit="1" customWidth="1"/>
  </cols>
  <sheetData>
    <row r="1" spans="1:12" x14ac:dyDescent="0.25">
      <c r="A1" s="16" t="s">
        <v>10</v>
      </c>
      <c r="B1" s="17" t="s">
        <v>76</v>
      </c>
      <c r="C1" s="17" t="s">
        <v>77</v>
      </c>
      <c r="D1" s="17" t="s">
        <v>11</v>
      </c>
      <c r="E1" s="17" t="s">
        <v>12</v>
      </c>
      <c r="F1" s="17" t="s">
        <v>0</v>
      </c>
      <c r="G1" s="17" t="s">
        <v>13</v>
      </c>
      <c r="H1" s="17" t="s">
        <v>101</v>
      </c>
      <c r="I1" s="17" t="s">
        <v>113</v>
      </c>
      <c r="J1" s="17" t="s">
        <v>14</v>
      </c>
      <c r="K1" s="17" t="s">
        <v>100</v>
      </c>
      <c r="L1" s="18" t="s">
        <v>1</v>
      </c>
    </row>
    <row r="2" spans="1:12" x14ac:dyDescent="0.25">
      <c r="A2" s="13">
        <v>4001</v>
      </c>
      <c r="B2" s="2" t="s">
        <v>78</v>
      </c>
      <c r="C2" s="3" t="s">
        <v>79</v>
      </c>
      <c r="D2" s="3" t="s">
        <v>15</v>
      </c>
      <c r="E2" s="3" t="s">
        <v>16</v>
      </c>
      <c r="F2" s="38" t="s">
        <v>103</v>
      </c>
      <c r="G2" s="6">
        <v>250</v>
      </c>
      <c r="H2" s="5">
        <v>50</v>
      </c>
      <c r="I2" s="37">
        <v>10</v>
      </c>
      <c r="J2" s="26">
        <v>46027</v>
      </c>
      <c r="K2" s="32" t="str">
        <f>TEXT(Restaurant_Details3[[#This Row],[OrderDate]],"dddd")</f>
        <v>Monday</v>
      </c>
      <c r="L2" s="14" t="s">
        <v>8</v>
      </c>
    </row>
    <row r="3" spans="1:12" x14ac:dyDescent="0.25">
      <c r="A3" s="13">
        <v>4003</v>
      </c>
      <c r="B3" s="2" t="s">
        <v>82</v>
      </c>
      <c r="C3" s="3" t="s">
        <v>83</v>
      </c>
      <c r="D3" s="3" t="s">
        <v>7</v>
      </c>
      <c r="E3" s="3" t="s">
        <v>19</v>
      </c>
      <c r="F3" s="3" t="s">
        <v>103</v>
      </c>
      <c r="G3" s="6">
        <v>450</v>
      </c>
      <c r="H3" s="5">
        <v>30</v>
      </c>
      <c r="I3" s="37">
        <v>15</v>
      </c>
      <c r="J3" s="26">
        <v>46042</v>
      </c>
      <c r="K3" s="32" t="str">
        <f>TEXT(Restaurant_Details3[[#This Row],[OrderDate]],"dddd")</f>
        <v>Tuesday</v>
      </c>
      <c r="L3" s="14" t="s">
        <v>75</v>
      </c>
    </row>
    <row r="4" spans="1:12" x14ac:dyDescent="0.25">
      <c r="A4" s="13">
        <v>4012</v>
      </c>
      <c r="B4" s="2" t="s">
        <v>78</v>
      </c>
      <c r="C4" s="3" t="s">
        <v>79</v>
      </c>
      <c r="D4" s="3" t="s">
        <v>27</v>
      </c>
      <c r="E4" s="3" t="s">
        <v>16</v>
      </c>
      <c r="F4" s="3" t="s">
        <v>103</v>
      </c>
      <c r="G4" s="6">
        <v>240</v>
      </c>
      <c r="H4" s="5">
        <v>30</v>
      </c>
      <c r="I4" s="37">
        <v>15</v>
      </c>
      <c r="J4" s="26">
        <v>46108</v>
      </c>
      <c r="K4" s="32" t="str">
        <f>TEXT(Restaurant_Details3[[#This Row],[OrderDate]],"dddd")</f>
        <v>Friday</v>
      </c>
      <c r="L4" s="14" t="s">
        <v>75</v>
      </c>
    </row>
    <row r="5" spans="1:12" x14ac:dyDescent="0.25">
      <c r="A5" s="13">
        <v>4014</v>
      </c>
      <c r="B5" s="2" t="s">
        <v>82</v>
      </c>
      <c r="C5" s="3" t="s">
        <v>83</v>
      </c>
      <c r="D5" s="3" t="s">
        <v>29</v>
      </c>
      <c r="E5" s="3" t="s">
        <v>19</v>
      </c>
      <c r="F5" s="3" t="s">
        <v>103</v>
      </c>
      <c r="G5" s="6">
        <v>480</v>
      </c>
      <c r="H5" s="5">
        <v>70</v>
      </c>
      <c r="I5" s="37">
        <v>20</v>
      </c>
      <c r="J5" s="26">
        <v>46124</v>
      </c>
      <c r="K5" s="32" t="str">
        <f>TEXT(Restaurant_Details3[[#This Row],[OrderDate]],"dddd")</f>
        <v>Sunday</v>
      </c>
      <c r="L5" s="14" t="s">
        <v>9</v>
      </c>
    </row>
    <row r="6" spans="1:12" x14ac:dyDescent="0.25">
      <c r="A6" s="13">
        <v>4022</v>
      </c>
      <c r="B6" s="2" t="s">
        <v>78</v>
      </c>
      <c r="C6" s="3" t="s">
        <v>79</v>
      </c>
      <c r="D6" s="3" t="s">
        <v>37</v>
      </c>
      <c r="E6" s="3" t="s">
        <v>16</v>
      </c>
      <c r="F6" s="3" t="s">
        <v>103</v>
      </c>
      <c r="G6" s="6">
        <v>310</v>
      </c>
      <c r="H6" s="5">
        <v>50</v>
      </c>
      <c r="I6" s="37">
        <v>10</v>
      </c>
      <c r="J6" s="26">
        <v>46188</v>
      </c>
      <c r="K6" s="32" t="str">
        <f>TEXT(Restaurant_Details3[[#This Row],[OrderDate]],"dddd")</f>
        <v>Monday</v>
      </c>
      <c r="L6" s="14" t="s">
        <v>8</v>
      </c>
    </row>
    <row r="7" spans="1:12" x14ac:dyDescent="0.25">
      <c r="A7" s="13">
        <v>4024</v>
      </c>
      <c r="B7" s="2" t="s">
        <v>82</v>
      </c>
      <c r="C7" s="3" t="s">
        <v>83</v>
      </c>
      <c r="D7" s="3" t="s">
        <v>39</v>
      </c>
      <c r="E7" s="3" t="s">
        <v>19</v>
      </c>
      <c r="F7" s="3" t="s">
        <v>103</v>
      </c>
      <c r="G7" s="6">
        <v>260</v>
      </c>
      <c r="H7" s="5">
        <v>30</v>
      </c>
      <c r="I7" s="37">
        <v>15</v>
      </c>
      <c r="J7" s="26">
        <v>46204</v>
      </c>
      <c r="K7" s="32" t="str">
        <f>TEXT(Restaurant_Details3[[#This Row],[OrderDate]],"dddd")</f>
        <v>Wednesday</v>
      </c>
      <c r="L7" s="14" t="s">
        <v>75</v>
      </c>
    </row>
    <row r="8" spans="1:12" x14ac:dyDescent="0.25">
      <c r="A8" s="13">
        <v>4033</v>
      </c>
      <c r="B8" s="2" t="s">
        <v>78</v>
      </c>
      <c r="C8" s="3" t="s">
        <v>79</v>
      </c>
      <c r="D8" s="3" t="s">
        <v>48</v>
      </c>
      <c r="E8" s="3" t="s">
        <v>16</v>
      </c>
      <c r="F8" s="3" t="s">
        <v>103</v>
      </c>
      <c r="G8" s="6">
        <v>310</v>
      </c>
      <c r="H8" s="5">
        <v>30</v>
      </c>
      <c r="I8" s="37">
        <v>15</v>
      </c>
      <c r="J8" s="26">
        <v>46276</v>
      </c>
      <c r="K8" s="32" t="str">
        <f>TEXT(Restaurant_Details3[[#This Row],[OrderDate]],"dddd")</f>
        <v>Friday</v>
      </c>
      <c r="L8" s="14" t="s">
        <v>75</v>
      </c>
    </row>
    <row r="9" spans="1:12" x14ac:dyDescent="0.25">
      <c r="A9" s="13">
        <v>4043</v>
      </c>
      <c r="B9" s="2" t="s">
        <v>78</v>
      </c>
      <c r="C9" s="3" t="s">
        <v>79</v>
      </c>
      <c r="D9" s="3" t="s">
        <v>58</v>
      </c>
      <c r="E9" s="3" t="s">
        <v>18</v>
      </c>
      <c r="F9" s="3" t="s">
        <v>103</v>
      </c>
      <c r="G9" s="6">
        <v>490</v>
      </c>
      <c r="H9" s="5">
        <v>50</v>
      </c>
      <c r="I9" s="37">
        <v>10</v>
      </c>
      <c r="J9" s="26">
        <v>46356</v>
      </c>
      <c r="K9" s="32" t="str">
        <f>TEXT(Restaurant_Details3[[#This Row],[OrderDate]],"dddd")</f>
        <v>Monday</v>
      </c>
      <c r="L9" s="14" t="s">
        <v>8</v>
      </c>
    </row>
    <row r="10" spans="1:12" x14ac:dyDescent="0.25">
      <c r="A10" s="13">
        <v>4053</v>
      </c>
      <c r="B10" s="2" t="s">
        <v>78</v>
      </c>
      <c r="C10" s="3" t="s">
        <v>79</v>
      </c>
      <c r="D10" s="3" t="s">
        <v>68</v>
      </c>
      <c r="E10" s="3" t="s">
        <v>19</v>
      </c>
      <c r="F10" s="3" t="s">
        <v>103</v>
      </c>
      <c r="G10" s="6">
        <v>450</v>
      </c>
      <c r="H10" s="5">
        <v>70</v>
      </c>
      <c r="I10" s="37">
        <v>20</v>
      </c>
      <c r="J10" s="26">
        <v>46093</v>
      </c>
      <c r="K10" s="32" t="str">
        <f>TEXT(Restaurant_Details3[[#This Row],[OrderDate]],"dddd")</f>
        <v>Thursday</v>
      </c>
      <c r="L10" s="14" t="s">
        <v>9</v>
      </c>
    </row>
    <row r="11" spans="1:12" x14ac:dyDescent="0.25">
      <c r="A11" s="13">
        <v>4004</v>
      </c>
      <c r="B11" s="2" t="s">
        <v>84</v>
      </c>
      <c r="C11" s="3" t="s">
        <v>85</v>
      </c>
      <c r="D11" s="3" t="s">
        <v>20</v>
      </c>
      <c r="E11" s="3" t="s">
        <v>16</v>
      </c>
      <c r="F11" s="3" t="s">
        <v>3</v>
      </c>
      <c r="G11" s="6">
        <v>290</v>
      </c>
      <c r="H11" s="5">
        <v>50</v>
      </c>
      <c r="I11" s="37">
        <v>10</v>
      </c>
      <c r="J11" s="26">
        <v>46050</v>
      </c>
      <c r="K11" s="32" t="str">
        <f>TEXT(Restaurant_Details3[[#This Row],[OrderDate]],"dddd")</f>
        <v>Wednesday</v>
      </c>
      <c r="L11" s="14" t="s">
        <v>8</v>
      </c>
    </row>
    <row r="12" spans="1:12" x14ac:dyDescent="0.25">
      <c r="A12" s="13">
        <v>4009</v>
      </c>
      <c r="B12" s="2" t="s">
        <v>92</v>
      </c>
      <c r="C12" s="3" t="s">
        <v>81</v>
      </c>
      <c r="D12" s="3" t="s">
        <v>24</v>
      </c>
      <c r="E12" s="3" t="s">
        <v>19</v>
      </c>
      <c r="F12" s="3" t="s">
        <v>3</v>
      </c>
      <c r="G12" s="6">
        <v>410</v>
      </c>
      <c r="H12" s="5">
        <v>30</v>
      </c>
      <c r="I12" s="37">
        <v>15</v>
      </c>
      <c r="J12" s="26">
        <v>46084</v>
      </c>
      <c r="K12" s="32" t="str">
        <f>TEXT(Restaurant_Details3[[#This Row],[OrderDate]],"dddd")</f>
        <v>Tuesday</v>
      </c>
      <c r="L12" s="14" t="s">
        <v>75</v>
      </c>
    </row>
    <row r="13" spans="1:12" x14ac:dyDescent="0.25">
      <c r="A13" s="13">
        <v>4015</v>
      </c>
      <c r="B13" s="2" t="s">
        <v>84</v>
      </c>
      <c r="C13" s="3" t="s">
        <v>85</v>
      </c>
      <c r="D13" s="3" t="s">
        <v>30</v>
      </c>
      <c r="E13" s="3" t="s">
        <v>16</v>
      </c>
      <c r="F13" s="3" t="s">
        <v>3</v>
      </c>
      <c r="G13" s="6">
        <v>460</v>
      </c>
      <c r="H13" s="5">
        <v>30</v>
      </c>
      <c r="I13" s="37">
        <v>15</v>
      </c>
      <c r="J13" s="26">
        <v>46132</v>
      </c>
      <c r="K13" s="32" t="str">
        <f>TEXT(Restaurant_Details3[[#This Row],[OrderDate]],"dddd")</f>
        <v>Monday</v>
      </c>
      <c r="L13" s="14" t="s">
        <v>75</v>
      </c>
    </row>
    <row r="14" spans="1:12" x14ac:dyDescent="0.25">
      <c r="A14" s="13">
        <v>4016</v>
      </c>
      <c r="B14" s="2" t="s">
        <v>86</v>
      </c>
      <c r="C14" s="3" t="s">
        <v>87</v>
      </c>
      <c r="D14" s="3" t="s">
        <v>31</v>
      </c>
      <c r="E14" s="3" t="s">
        <v>16</v>
      </c>
      <c r="F14" s="3" t="s">
        <v>3</v>
      </c>
      <c r="G14" s="6">
        <v>260</v>
      </c>
      <c r="H14" s="5">
        <v>50</v>
      </c>
      <c r="I14" s="37">
        <v>10</v>
      </c>
      <c r="J14" s="26">
        <v>46140</v>
      </c>
      <c r="K14" s="32" t="str">
        <f>TEXT(Restaurant_Details3[[#This Row],[OrderDate]],"dddd")</f>
        <v>Tuesday</v>
      </c>
      <c r="L14" s="14" t="s">
        <v>8</v>
      </c>
    </row>
    <row r="15" spans="1:12" x14ac:dyDescent="0.25">
      <c r="A15" s="13">
        <v>4021</v>
      </c>
      <c r="B15" s="2" t="s">
        <v>96</v>
      </c>
      <c r="C15" s="3" t="s">
        <v>97</v>
      </c>
      <c r="D15" s="3" t="s">
        <v>36</v>
      </c>
      <c r="E15" s="3" t="s">
        <v>19</v>
      </c>
      <c r="F15" s="3" t="s">
        <v>3</v>
      </c>
      <c r="G15" s="6">
        <v>230</v>
      </c>
      <c r="H15" s="5">
        <v>30</v>
      </c>
      <c r="I15" s="37">
        <v>15</v>
      </c>
      <c r="J15" s="26">
        <v>46180</v>
      </c>
      <c r="K15" s="32" t="str">
        <f>TEXT(Restaurant_Details3[[#This Row],[OrderDate]],"dddd")</f>
        <v>Sunday</v>
      </c>
      <c r="L15" s="14" t="s">
        <v>75</v>
      </c>
    </row>
    <row r="16" spans="1:12" x14ac:dyDescent="0.25">
      <c r="A16" s="13">
        <v>4027</v>
      </c>
      <c r="B16" s="2" t="s">
        <v>84</v>
      </c>
      <c r="C16" s="3" t="s">
        <v>85</v>
      </c>
      <c r="D16" s="3" t="s">
        <v>42</v>
      </c>
      <c r="E16" s="3" t="s">
        <v>16</v>
      </c>
      <c r="F16" s="3" t="s">
        <v>3</v>
      </c>
      <c r="G16" s="6">
        <v>220</v>
      </c>
      <c r="H16" s="5">
        <v>30</v>
      </c>
      <c r="I16" s="37">
        <v>15</v>
      </c>
      <c r="J16" s="26">
        <v>46228</v>
      </c>
      <c r="K16" s="32" t="str">
        <f>TEXT(Restaurant_Details3[[#This Row],[OrderDate]],"dddd")</f>
        <v>Saturday</v>
      </c>
      <c r="L16" s="14" t="s">
        <v>75</v>
      </c>
    </row>
    <row r="17" spans="1:12" x14ac:dyDescent="0.25">
      <c r="A17" s="13">
        <v>4036</v>
      </c>
      <c r="B17" s="2" t="s">
        <v>84</v>
      </c>
      <c r="C17" s="3" t="s">
        <v>85</v>
      </c>
      <c r="D17" s="3" t="s">
        <v>51</v>
      </c>
      <c r="E17" s="3" t="s">
        <v>16</v>
      </c>
      <c r="F17" s="3" t="s">
        <v>3</v>
      </c>
      <c r="G17" s="6">
        <v>290</v>
      </c>
      <c r="H17" s="5">
        <v>30</v>
      </c>
      <c r="I17" s="37">
        <v>15</v>
      </c>
      <c r="J17" s="26">
        <v>46300</v>
      </c>
      <c r="K17" s="32" t="str">
        <f>TEXT(Restaurant_Details3[[#This Row],[OrderDate]],"dddd")</f>
        <v>Monday</v>
      </c>
      <c r="L17" s="14" t="s">
        <v>75</v>
      </c>
    </row>
    <row r="18" spans="1:12" x14ac:dyDescent="0.25">
      <c r="A18" s="13">
        <v>4046</v>
      </c>
      <c r="B18" s="2" t="s">
        <v>84</v>
      </c>
      <c r="C18" s="3" t="s">
        <v>85</v>
      </c>
      <c r="D18" s="3" t="s">
        <v>61</v>
      </c>
      <c r="E18" s="3" t="s">
        <v>18</v>
      </c>
      <c r="F18" s="3" t="s">
        <v>3</v>
      </c>
      <c r="G18" s="6">
        <v>450</v>
      </c>
      <c r="H18" s="5">
        <v>50</v>
      </c>
      <c r="I18" s="37">
        <v>10</v>
      </c>
      <c r="J18" s="26">
        <v>46380</v>
      </c>
      <c r="K18" s="32" t="str">
        <f>TEXT(Restaurant_Details3[[#This Row],[OrderDate]],"dddd")</f>
        <v>Thursday</v>
      </c>
      <c r="L18" s="14" t="s">
        <v>8</v>
      </c>
    </row>
    <row r="19" spans="1:12" x14ac:dyDescent="0.25">
      <c r="A19" s="13">
        <v>4056</v>
      </c>
      <c r="B19" s="2" t="s">
        <v>84</v>
      </c>
      <c r="C19" s="3" t="s">
        <v>85</v>
      </c>
      <c r="D19" s="3" t="s">
        <v>70</v>
      </c>
      <c r="E19" s="3" t="s">
        <v>19</v>
      </c>
      <c r="F19" s="3" t="s">
        <v>3</v>
      </c>
      <c r="G19" s="6">
        <v>490</v>
      </c>
      <c r="H19" s="5">
        <v>70</v>
      </c>
      <c r="I19" s="37">
        <v>20</v>
      </c>
      <c r="J19" s="26">
        <v>46192</v>
      </c>
      <c r="K19" s="32" t="str">
        <f>TEXT(Restaurant_Details3[[#This Row],[OrderDate]],"dddd")</f>
        <v>Friday</v>
      </c>
      <c r="L19" s="14" t="s">
        <v>9</v>
      </c>
    </row>
    <row r="20" spans="1:12" x14ac:dyDescent="0.25">
      <c r="A20" s="13">
        <v>4005</v>
      </c>
      <c r="B20" s="2" t="s">
        <v>86</v>
      </c>
      <c r="C20" s="3" t="s">
        <v>87</v>
      </c>
      <c r="D20" s="3" t="s">
        <v>21</v>
      </c>
      <c r="E20" s="3" t="s">
        <v>18</v>
      </c>
      <c r="F20" s="3" t="s">
        <v>104</v>
      </c>
      <c r="G20" s="6">
        <v>500</v>
      </c>
      <c r="H20" s="5">
        <v>70</v>
      </c>
      <c r="I20" s="37">
        <v>20</v>
      </c>
      <c r="J20" s="26">
        <v>46055</v>
      </c>
      <c r="K20" s="32" t="str">
        <f>TEXT(Restaurant_Details3[[#This Row],[OrderDate]],"dddd")</f>
        <v>Monday</v>
      </c>
      <c r="L20" s="14" t="s">
        <v>9</v>
      </c>
    </row>
    <row r="21" spans="1:12" x14ac:dyDescent="0.25">
      <c r="A21" s="13">
        <v>4026</v>
      </c>
      <c r="B21" s="2" t="s">
        <v>86</v>
      </c>
      <c r="C21" s="3" t="s">
        <v>87</v>
      </c>
      <c r="D21" s="3" t="s">
        <v>41</v>
      </c>
      <c r="E21" s="3" t="s">
        <v>18</v>
      </c>
      <c r="F21" s="3" t="s">
        <v>104</v>
      </c>
      <c r="G21" s="6">
        <v>490</v>
      </c>
      <c r="H21" s="5">
        <v>70</v>
      </c>
      <c r="I21" s="37">
        <v>20</v>
      </c>
      <c r="J21" s="26">
        <v>46220</v>
      </c>
      <c r="K21" s="32" t="str">
        <f>TEXT(Restaurant_Details3[[#This Row],[OrderDate]],"dddd")</f>
        <v>Friday</v>
      </c>
      <c r="L21" s="14" t="s">
        <v>9</v>
      </c>
    </row>
    <row r="22" spans="1:12" x14ac:dyDescent="0.25">
      <c r="A22" s="13">
        <v>4034</v>
      </c>
      <c r="B22" s="2" t="s">
        <v>80</v>
      </c>
      <c r="C22" s="3" t="s">
        <v>81</v>
      </c>
      <c r="D22" s="3" t="s">
        <v>49</v>
      </c>
      <c r="E22" s="3" t="s">
        <v>18</v>
      </c>
      <c r="F22" s="3" t="s">
        <v>104</v>
      </c>
      <c r="G22" s="6">
        <v>430</v>
      </c>
      <c r="H22" s="5">
        <v>50</v>
      </c>
      <c r="I22" s="37">
        <v>10</v>
      </c>
      <c r="J22" s="26">
        <v>46284</v>
      </c>
      <c r="K22" s="32" t="str">
        <f>TEXT(Restaurant_Details3[[#This Row],[OrderDate]],"dddd")</f>
        <v>Saturday</v>
      </c>
      <c r="L22" s="14" t="s">
        <v>8</v>
      </c>
    </row>
    <row r="23" spans="1:12" x14ac:dyDescent="0.25">
      <c r="A23" s="13">
        <v>4037</v>
      </c>
      <c r="B23" s="2" t="s">
        <v>86</v>
      </c>
      <c r="C23" s="3" t="s">
        <v>87</v>
      </c>
      <c r="D23" s="3" t="s">
        <v>52</v>
      </c>
      <c r="E23" s="3" t="s">
        <v>18</v>
      </c>
      <c r="F23" s="3" t="s">
        <v>104</v>
      </c>
      <c r="G23" s="6">
        <v>480</v>
      </c>
      <c r="H23" s="5">
        <v>50</v>
      </c>
      <c r="I23" s="37">
        <v>10</v>
      </c>
      <c r="J23" s="26">
        <v>46308</v>
      </c>
      <c r="K23" s="32" t="str">
        <f>TEXT(Restaurant_Details3[[#This Row],[OrderDate]],"dddd")</f>
        <v>Tuesday</v>
      </c>
      <c r="L23" s="14" t="s">
        <v>8</v>
      </c>
    </row>
    <row r="24" spans="1:12" x14ac:dyDescent="0.25">
      <c r="A24" s="13">
        <v>4044</v>
      </c>
      <c r="B24" s="2" t="s">
        <v>80</v>
      </c>
      <c r="C24" s="3" t="s">
        <v>93</v>
      </c>
      <c r="D24" s="3" t="s">
        <v>59</v>
      </c>
      <c r="E24" s="3" t="s">
        <v>19</v>
      </c>
      <c r="F24" s="3" t="s">
        <v>104</v>
      </c>
      <c r="G24" s="6">
        <v>260</v>
      </c>
      <c r="H24" s="5">
        <v>70</v>
      </c>
      <c r="I24" s="37">
        <v>20</v>
      </c>
      <c r="J24" s="26">
        <v>46364</v>
      </c>
      <c r="K24" s="32" t="str">
        <f>TEXT(Restaurant_Details3[[#This Row],[OrderDate]],"dddd")</f>
        <v>Tuesday</v>
      </c>
      <c r="L24" s="14" t="s">
        <v>9</v>
      </c>
    </row>
    <row r="25" spans="1:12" x14ac:dyDescent="0.25">
      <c r="A25" s="13">
        <v>4047</v>
      </c>
      <c r="B25" s="2" t="s">
        <v>86</v>
      </c>
      <c r="C25" s="3" t="s">
        <v>87</v>
      </c>
      <c r="D25" s="3" t="s">
        <v>62</v>
      </c>
      <c r="E25" s="3" t="s">
        <v>19</v>
      </c>
      <c r="F25" s="3" t="s">
        <v>104</v>
      </c>
      <c r="G25" s="6">
        <v>280</v>
      </c>
      <c r="H25" s="5">
        <v>70</v>
      </c>
      <c r="I25" s="37">
        <v>20</v>
      </c>
      <c r="J25" s="26">
        <v>46384</v>
      </c>
      <c r="K25" s="32" t="str">
        <f>TEXT(Restaurant_Details3[[#This Row],[OrderDate]],"dddd")</f>
        <v>Monday</v>
      </c>
      <c r="L25" s="14" t="s">
        <v>9</v>
      </c>
    </row>
    <row r="26" spans="1:12" x14ac:dyDescent="0.25">
      <c r="A26" s="13">
        <v>4057</v>
      </c>
      <c r="B26" s="2" t="s">
        <v>86</v>
      </c>
      <c r="C26" s="3" t="s">
        <v>87</v>
      </c>
      <c r="D26" s="3" t="s">
        <v>71</v>
      </c>
      <c r="E26" s="3" t="s">
        <v>16</v>
      </c>
      <c r="F26" s="3" t="s">
        <v>104</v>
      </c>
      <c r="G26" s="6">
        <v>240</v>
      </c>
      <c r="H26" s="5">
        <v>30</v>
      </c>
      <c r="I26" s="37">
        <v>15</v>
      </c>
      <c r="J26" s="26">
        <v>46210</v>
      </c>
      <c r="K26" s="32" t="str">
        <f>TEXT(Restaurant_Details3[[#This Row],[OrderDate]],"dddd")</f>
        <v>Tuesday</v>
      </c>
      <c r="L26" s="14" t="s">
        <v>75</v>
      </c>
    </row>
    <row r="27" spans="1:12" x14ac:dyDescent="0.25">
      <c r="A27" s="13">
        <v>4035</v>
      </c>
      <c r="B27" s="2" t="s">
        <v>82</v>
      </c>
      <c r="C27" s="3" t="s">
        <v>83</v>
      </c>
      <c r="D27" s="3" t="s">
        <v>50</v>
      </c>
      <c r="E27" s="3" t="s">
        <v>19</v>
      </c>
      <c r="F27" s="3" t="s">
        <v>4</v>
      </c>
      <c r="G27" s="6">
        <v>270</v>
      </c>
      <c r="H27" s="5">
        <v>70</v>
      </c>
      <c r="I27" s="37">
        <v>20</v>
      </c>
      <c r="J27" s="26">
        <v>46292</v>
      </c>
      <c r="K27" s="32" t="str">
        <f>TEXT(Restaurant_Details3[[#This Row],[OrderDate]],"dddd")</f>
        <v>Sunday</v>
      </c>
      <c r="L27" s="14" t="s">
        <v>9</v>
      </c>
    </row>
    <row r="28" spans="1:12" x14ac:dyDescent="0.25">
      <c r="A28" s="13">
        <v>4045</v>
      </c>
      <c r="B28" s="2" t="s">
        <v>82</v>
      </c>
      <c r="C28" s="3" t="s">
        <v>83</v>
      </c>
      <c r="D28" s="3" t="s">
        <v>60</v>
      </c>
      <c r="E28" s="3" t="s">
        <v>16</v>
      </c>
      <c r="F28" s="3" t="s">
        <v>4</v>
      </c>
      <c r="G28" s="6">
        <v>340</v>
      </c>
      <c r="H28" s="5">
        <v>30</v>
      </c>
      <c r="I28" s="37">
        <v>15</v>
      </c>
      <c r="J28" s="26">
        <v>46372</v>
      </c>
      <c r="K28" s="32" t="str">
        <f>TEXT(Restaurant_Details3[[#This Row],[OrderDate]],"dddd")</f>
        <v>Wednesday</v>
      </c>
      <c r="L28" s="14" t="s">
        <v>75</v>
      </c>
    </row>
    <row r="29" spans="1:12" x14ac:dyDescent="0.25">
      <c r="A29" s="13">
        <v>4055</v>
      </c>
      <c r="B29" s="2" t="s">
        <v>82</v>
      </c>
      <c r="C29" s="3" t="s">
        <v>83</v>
      </c>
      <c r="D29" s="3" t="s">
        <v>69</v>
      </c>
      <c r="E29" s="3" t="s">
        <v>18</v>
      </c>
      <c r="F29" s="3" t="s">
        <v>4</v>
      </c>
      <c r="G29" s="6">
        <v>330</v>
      </c>
      <c r="H29" s="5">
        <v>50</v>
      </c>
      <c r="I29" s="37">
        <v>10</v>
      </c>
      <c r="J29" s="26">
        <v>46156</v>
      </c>
      <c r="K29" s="32" t="str">
        <f>TEXT(Restaurant_Details3[[#This Row],[OrderDate]],"dddd")</f>
        <v>Thursday</v>
      </c>
      <c r="L29" s="14" t="s">
        <v>8</v>
      </c>
    </row>
    <row r="30" spans="1:12" x14ac:dyDescent="0.25">
      <c r="A30" s="13">
        <v>4006</v>
      </c>
      <c r="B30" s="2" t="s">
        <v>88</v>
      </c>
      <c r="C30" s="3" t="s">
        <v>89</v>
      </c>
      <c r="D30" s="3" t="s">
        <v>22</v>
      </c>
      <c r="E30" s="3" t="s">
        <v>18</v>
      </c>
      <c r="F30" s="3" t="s">
        <v>5</v>
      </c>
      <c r="G30" s="6">
        <v>310</v>
      </c>
      <c r="H30" s="5">
        <v>50</v>
      </c>
      <c r="I30" s="37">
        <v>10</v>
      </c>
      <c r="J30" s="26">
        <v>46071</v>
      </c>
      <c r="K30" s="32" t="str">
        <f>TEXT(Restaurant_Details3[[#This Row],[OrderDate]],"dddd")</f>
        <v>Wednesday</v>
      </c>
      <c r="L30" s="14" t="s">
        <v>8</v>
      </c>
    </row>
    <row r="31" spans="1:12" x14ac:dyDescent="0.25">
      <c r="A31" s="13">
        <v>4028</v>
      </c>
      <c r="B31" s="2" t="s">
        <v>88</v>
      </c>
      <c r="C31" s="3" t="s">
        <v>97</v>
      </c>
      <c r="D31" s="3" t="s">
        <v>43</v>
      </c>
      <c r="E31" s="3" t="s">
        <v>18</v>
      </c>
      <c r="F31" s="3" t="s">
        <v>5</v>
      </c>
      <c r="G31" s="6">
        <v>300</v>
      </c>
      <c r="H31" s="5">
        <v>50</v>
      </c>
      <c r="I31" s="37">
        <v>10</v>
      </c>
      <c r="J31" s="26">
        <v>46236</v>
      </c>
      <c r="K31" s="32" t="str">
        <f>TEXT(Restaurant_Details3[[#This Row],[OrderDate]],"dddd")</f>
        <v>Sunday</v>
      </c>
      <c r="L31" s="14" t="s">
        <v>8</v>
      </c>
    </row>
    <row r="32" spans="1:12" x14ac:dyDescent="0.25">
      <c r="A32" s="13">
        <v>4038</v>
      </c>
      <c r="B32" s="2" t="s">
        <v>88</v>
      </c>
      <c r="C32" s="3" t="s">
        <v>89</v>
      </c>
      <c r="D32" s="3" t="s">
        <v>53</v>
      </c>
      <c r="E32" s="3" t="s">
        <v>19</v>
      </c>
      <c r="F32" s="3" t="s">
        <v>5</v>
      </c>
      <c r="G32" s="6">
        <v>240</v>
      </c>
      <c r="H32" s="5">
        <v>70</v>
      </c>
      <c r="I32" s="37">
        <v>20</v>
      </c>
      <c r="J32" s="26">
        <v>46316</v>
      </c>
      <c r="K32" s="32" t="str">
        <f>TEXT(Restaurant_Details3[[#This Row],[OrderDate]],"dddd")</f>
        <v>Wednesday</v>
      </c>
      <c r="L32" s="14" t="s">
        <v>9</v>
      </c>
    </row>
    <row r="33" spans="1:12" x14ac:dyDescent="0.25">
      <c r="A33" s="13">
        <v>4048</v>
      </c>
      <c r="B33" s="2" t="s">
        <v>88</v>
      </c>
      <c r="C33" s="3" t="s">
        <v>89</v>
      </c>
      <c r="D33" s="3" t="s">
        <v>63</v>
      </c>
      <c r="E33" s="3" t="s">
        <v>16</v>
      </c>
      <c r="F33" s="3" t="s">
        <v>5</v>
      </c>
      <c r="G33" s="6">
        <v>310</v>
      </c>
      <c r="H33" s="5">
        <v>30</v>
      </c>
      <c r="I33" s="37">
        <v>15</v>
      </c>
      <c r="J33" s="26">
        <v>46385</v>
      </c>
      <c r="K33" s="32" t="str">
        <f>TEXT(Restaurant_Details3[[#This Row],[OrderDate]],"dddd")</f>
        <v>Tuesday</v>
      </c>
      <c r="L33" s="14" t="s">
        <v>75</v>
      </c>
    </row>
    <row r="34" spans="1:12" x14ac:dyDescent="0.25">
      <c r="A34" s="13">
        <v>4049</v>
      </c>
      <c r="B34" s="2" t="s">
        <v>90</v>
      </c>
      <c r="C34" s="3" t="s">
        <v>91</v>
      </c>
      <c r="D34" s="3" t="s">
        <v>64</v>
      </c>
      <c r="E34" s="3" t="s">
        <v>18</v>
      </c>
      <c r="F34" s="3" t="s">
        <v>5</v>
      </c>
      <c r="G34" s="6">
        <v>430</v>
      </c>
      <c r="H34" s="5">
        <v>50</v>
      </c>
      <c r="I34" s="37">
        <v>10</v>
      </c>
      <c r="J34" s="26">
        <v>46386</v>
      </c>
      <c r="K34" s="32" t="str">
        <f>TEXT(Restaurant_Details3[[#This Row],[OrderDate]],"dddd")</f>
        <v>Wednesday</v>
      </c>
      <c r="L34" s="14" t="s">
        <v>8</v>
      </c>
    </row>
    <row r="35" spans="1:12" x14ac:dyDescent="0.25">
      <c r="A35" s="13">
        <v>4058</v>
      </c>
      <c r="B35" s="2" t="s">
        <v>88</v>
      </c>
      <c r="C35" s="3" t="s">
        <v>89</v>
      </c>
      <c r="D35" s="3" t="s">
        <v>72</v>
      </c>
      <c r="E35" s="3" t="s">
        <v>18</v>
      </c>
      <c r="F35" s="3" t="s">
        <v>5</v>
      </c>
      <c r="G35" s="6">
        <v>300</v>
      </c>
      <c r="H35" s="5">
        <v>50</v>
      </c>
      <c r="I35" s="37">
        <v>10</v>
      </c>
      <c r="J35" s="26">
        <v>46245</v>
      </c>
      <c r="K35" s="32" t="str">
        <f>TEXT(Restaurant_Details3[[#This Row],[OrderDate]],"dddd")</f>
        <v>Tuesday</v>
      </c>
      <c r="L35" s="14" t="s">
        <v>8</v>
      </c>
    </row>
    <row r="36" spans="1:12" x14ac:dyDescent="0.25">
      <c r="A36" s="13">
        <v>4059</v>
      </c>
      <c r="B36" s="2" t="s">
        <v>90</v>
      </c>
      <c r="C36" s="3" t="s">
        <v>91</v>
      </c>
      <c r="D36" s="3" t="s">
        <v>73</v>
      </c>
      <c r="E36" s="3" t="s">
        <v>19</v>
      </c>
      <c r="F36" s="3" t="s">
        <v>5</v>
      </c>
      <c r="G36" s="6">
        <v>470</v>
      </c>
      <c r="H36" s="5">
        <v>70</v>
      </c>
      <c r="I36" s="37">
        <v>20</v>
      </c>
      <c r="J36" s="26">
        <v>46286</v>
      </c>
      <c r="K36" s="32" t="str">
        <f>TEXT(Restaurant_Details3[[#This Row],[OrderDate]],"dddd")</f>
        <v>Monday</v>
      </c>
      <c r="L36" s="14" t="s">
        <v>9</v>
      </c>
    </row>
    <row r="37" spans="1:12" x14ac:dyDescent="0.25">
      <c r="A37" s="13">
        <v>4010</v>
      </c>
      <c r="B37" s="2" t="s">
        <v>94</v>
      </c>
      <c r="C37" s="3" t="s">
        <v>87</v>
      </c>
      <c r="D37" s="3" t="s">
        <v>25</v>
      </c>
      <c r="E37" s="3" t="s">
        <v>16</v>
      </c>
      <c r="F37" s="3" t="s">
        <v>107</v>
      </c>
      <c r="G37" s="6">
        <v>270</v>
      </c>
      <c r="H37" s="5">
        <v>50</v>
      </c>
      <c r="I37" s="37">
        <v>10</v>
      </c>
      <c r="J37" s="26">
        <v>46092</v>
      </c>
      <c r="K37" s="32" t="str">
        <f>TEXT(Restaurant_Details3[[#This Row],[OrderDate]],"dddd")</f>
        <v>Wednesday</v>
      </c>
      <c r="L37" s="14" t="s">
        <v>8</v>
      </c>
    </row>
    <row r="38" spans="1:12" x14ac:dyDescent="0.25">
      <c r="A38" s="13">
        <v>4020</v>
      </c>
      <c r="B38" s="2" t="s">
        <v>94</v>
      </c>
      <c r="C38" s="3" t="s">
        <v>87</v>
      </c>
      <c r="D38" s="3" t="s">
        <v>35</v>
      </c>
      <c r="E38" s="3" t="s">
        <v>18</v>
      </c>
      <c r="F38" s="3" t="s">
        <v>107</v>
      </c>
      <c r="G38" s="6">
        <v>470</v>
      </c>
      <c r="H38" s="5">
        <v>70</v>
      </c>
      <c r="I38" s="37">
        <v>20</v>
      </c>
      <c r="J38" s="26">
        <v>46172</v>
      </c>
      <c r="K38" s="32" t="str">
        <f>TEXT(Restaurant_Details3[[#This Row],[OrderDate]],"dddd")</f>
        <v>Saturday</v>
      </c>
      <c r="L38" s="14" t="s">
        <v>9</v>
      </c>
    </row>
    <row r="39" spans="1:12" x14ac:dyDescent="0.25">
      <c r="A39" s="13">
        <v>4031</v>
      </c>
      <c r="B39" s="2" t="s">
        <v>94</v>
      </c>
      <c r="C39" s="3" t="s">
        <v>87</v>
      </c>
      <c r="D39" s="3" t="s">
        <v>46</v>
      </c>
      <c r="E39" s="3" t="s">
        <v>18</v>
      </c>
      <c r="F39" s="3" t="s">
        <v>107</v>
      </c>
      <c r="G39" s="6">
        <v>460</v>
      </c>
      <c r="H39" s="5">
        <v>50</v>
      </c>
      <c r="I39" s="37">
        <v>10</v>
      </c>
      <c r="J39" s="26">
        <v>46260</v>
      </c>
      <c r="K39" s="32" t="str">
        <f>TEXT(Restaurant_Details3[[#This Row],[OrderDate]],"dddd")</f>
        <v>Wednesday</v>
      </c>
      <c r="L39" s="14" t="s">
        <v>8</v>
      </c>
    </row>
    <row r="40" spans="1:12" x14ac:dyDescent="0.25">
      <c r="A40" s="13">
        <v>4041</v>
      </c>
      <c r="B40" s="2" t="s">
        <v>94</v>
      </c>
      <c r="C40" s="3" t="s">
        <v>95</v>
      </c>
      <c r="D40" s="3" t="s">
        <v>56</v>
      </c>
      <c r="E40" s="3" t="s">
        <v>19</v>
      </c>
      <c r="F40" s="3" t="s">
        <v>107</v>
      </c>
      <c r="G40" s="6">
        <v>210</v>
      </c>
      <c r="H40" s="5">
        <v>70</v>
      </c>
      <c r="I40" s="37">
        <v>20</v>
      </c>
      <c r="J40" s="26">
        <v>46340</v>
      </c>
      <c r="K40" s="32" t="str">
        <f>TEXT(Restaurant_Details3[[#This Row],[OrderDate]],"dddd")</f>
        <v>Saturday</v>
      </c>
      <c r="L40" s="14" t="s">
        <v>9</v>
      </c>
    </row>
    <row r="41" spans="1:12" x14ac:dyDescent="0.25">
      <c r="A41" s="13">
        <v>4051</v>
      </c>
      <c r="B41" s="2" t="s">
        <v>94</v>
      </c>
      <c r="C41" s="3" t="s">
        <v>95</v>
      </c>
      <c r="D41" s="3" t="s">
        <v>66</v>
      </c>
      <c r="E41" s="3" t="s">
        <v>16</v>
      </c>
      <c r="F41" s="3" t="s">
        <v>107</v>
      </c>
      <c r="G41" s="6">
        <v>220</v>
      </c>
      <c r="H41" s="5">
        <v>30</v>
      </c>
      <c r="I41" s="37">
        <v>15</v>
      </c>
      <c r="J41" s="26">
        <v>46037</v>
      </c>
      <c r="K41" s="32" t="str">
        <f>TEXT(Restaurant_Details3[[#This Row],[OrderDate]],"dddd")</f>
        <v>Thursday</v>
      </c>
      <c r="L41" s="14" t="s">
        <v>75</v>
      </c>
    </row>
    <row r="42" spans="1:12" x14ac:dyDescent="0.25">
      <c r="A42" s="13">
        <v>4019</v>
      </c>
      <c r="B42" s="2" t="s">
        <v>92</v>
      </c>
      <c r="C42" s="3" t="s">
        <v>81</v>
      </c>
      <c r="D42" s="3" t="s">
        <v>34</v>
      </c>
      <c r="E42" s="3" t="s">
        <v>16</v>
      </c>
      <c r="F42" s="3" t="s">
        <v>106</v>
      </c>
      <c r="G42" s="6">
        <v>280</v>
      </c>
      <c r="H42" s="5">
        <v>50</v>
      </c>
      <c r="I42" s="37">
        <v>10</v>
      </c>
      <c r="J42" s="26">
        <v>46164</v>
      </c>
      <c r="K42" s="32" t="str">
        <f>TEXT(Restaurant_Details3[[#This Row],[OrderDate]],"dddd")</f>
        <v>Friday</v>
      </c>
      <c r="L42" s="14" t="s">
        <v>8</v>
      </c>
    </row>
    <row r="43" spans="1:12" x14ac:dyDescent="0.25">
      <c r="A43" s="13">
        <v>4030</v>
      </c>
      <c r="B43" s="2" t="s">
        <v>92</v>
      </c>
      <c r="C43" s="3" t="s">
        <v>81</v>
      </c>
      <c r="D43" s="3" t="s">
        <v>45</v>
      </c>
      <c r="E43" s="3" t="s">
        <v>16</v>
      </c>
      <c r="F43" s="3" t="s">
        <v>106</v>
      </c>
      <c r="G43" s="6">
        <v>280</v>
      </c>
      <c r="H43" s="5">
        <v>30</v>
      </c>
      <c r="I43" s="37">
        <v>15</v>
      </c>
      <c r="J43" s="26">
        <v>46252</v>
      </c>
      <c r="K43" s="32" t="str">
        <f>TEXT(Restaurant_Details3[[#This Row],[OrderDate]],"dddd")</f>
        <v>Tuesday</v>
      </c>
      <c r="L43" s="14" t="s">
        <v>75</v>
      </c>
    </row>
    <row r="44" spans="1:12" x14ac:dyDescent="0.25">
      <c r="A44" s="13">
        <v>4040</v>
      </c>
      <c r="B44" s="2" t="s">
        <v>92</v>
      </c>
      <c r="C44" s="3" t="s">
        <v>93</v>
      </c>
      <c r="D44" s="3" t="s">
        <v>55</v>
      </c>
      <c r="E44" s="3" t="s">
        <v>18</v>
      </c>
      <c r="F44" s="3" t="s">
        <v>106</v>
      </c>
      <c r="G44" s="6">
        <v>470</v>
      </c>
      <c r="H44" s="5">
        <v>50</v>
      </c>
      <c r="I44" s="37">
        <v>10</v>
      </c>
      <c r="J44" s="26">
        <v>46332</v>
      </c>
      <c r="K44" s="32" t="str">
        <f>TEXT(Restaurant_Details3[[#This Row],[OrderDate]],"dddd")</f>
        <v>Friday</v>
      </c>
      <c r="L44" s="14" t="s">
        <v>8</v>
      </c>
    </row>
    <row r="45" spans="1:12" x14ac:dyDescent="0.25">
      <c r="A45" s="13">
        <v>4050</v>
      </c>
      <c r="B45" s="2" t="s">
        <v>92</v>
      </c>
      <c r="C45" s="3" t="s">
        <v>93</v>
      </c>
      <c r="D45" s="3" t="s">
        <v>65</v>
      </c>
      <c r="E45" s="3" t="s">
        <v>19</v>
      </c>
      <c r="F45" s="3" t="s">
        <v>106</v>
      </c>
      <c r="G45" s="6">
        <v>270</v>
      </c>
      <c r="H45" s="5">
        <v>70</v>
      </c>
      <c r="I45" s="37">
        <v>20</v>
      </c>
      <c r="J45" s="26">
        <v>46387</v>
      </c>
      <c r="K45" s="32" t="str">
        <f>TEXT(Restaurant_Details3[[#This Row],[OrderDate]],"dddd")</f>
        <v>Thursday</v>
      </c>
      <c r="L45" s="14" t="s">
        <v>9</v>
      </c>
    </row>
    <row r="46" spans="1:12" x14ac:dyDescent="0.25">
      <c r="A46" s="13">
        <v>4060</v>
      </c>
      <c r="B46" s="2" t="s">
        <v>92</v>
      </c>
      <c r="C46" s="3" t="s">
        <v>93</v>
      </c>
      <c r="D46" s="3" t="s">
        <v>74</v>
      </c>
      <c r="E46" s="3" t="s">
        <v>16</v>
      </c>
      <c r="F46" s="3" t="s">
        <v>106</v>
      </c>
      <c r="G46" s="6">
        <v>260</v>
      </c>
      <c r="H46" s="5">
        <v>30</v>
      </c>
      <c r="I46" s="37">
        <v>15</v>
      </c>
      <c r="J46" s="26">
        <v>46300</v>
      </c>
      <c r="K46" s="32" t="str">
        <f>TEXT(Restaurant_Details3[[#This Row],[OrderDate]],"dddd")</f>
        <v>Monday</v>
      </c>
      <c r="L46" s="14" t="s">
        <v>75</v>
      </c>
    </row>
    <row r="47" spans="1:12" x14ac:dyDescent="0.25">
      <c r="A47" s="13">
        <v>4002</v>
      </c>
      <c r="B47" s="2" t="s">
        <v>80</v>
      </c>
      <c r="C47" s="3" t="s">
        <v>81</v>
      </c>
      <c r="D47" s="3" t="s">
        <v>17</v>
      </c>
      <c r="E47" s="3" t="s">
        <v>18</v>
      </c>
      <c r="F47" s="3" t="s">
        <v>2</v>
      </c>
      <c r="G47" s="6">
        <v>320</v>
      </c>
      <c r="H47" s="5">
        <v>70</v>
      </c>
      <c r="I47" s="37">
        <v>20</v>
      </c>
      <c r="J47" s="26">
        <v>46034</v>
      </c>
      <c r="K47" s="32" t="str">
        <f>TEXT(Restaurant_Details3[[#This Row],[OrderDate]],"dddd")</f>
        <v>Monday</v>
      </c>
      <c r="L47" s="14" t="s">
        <v>9</v>
      </c>
    </row>
    <row r="48" spans="1:12" x14ac:dyDescent="0.25">
      <c r="A48" s="13">
        <v>4013</v>
      </c>
      <c r="B48" s="2" t="s">
        <v>80</v>
      </c>
      <c r="C48" s="3" t="s">
        <v>81</v>
      </c>
      <c r="D48" s="3" t="s">
        <v>28</v>
      </c>
      <c r="E48" s="3" t="s">
        <v>18</v>
      </c>
      <c r="F48" s="3" t="s">
        <v>2</v>
      </c>
      <c r="G48" s="6">
        <v>350</v>
      </c>
      <c r="H48" s="5">
        <v>50</v>
      </c>
      <c r="I48" s="37">
        <v>10</v>
      </c>
      <c r="J48" s="26">
        <v>46116</v>
      </c>
      <c r="K48" s="32" t="str">
        <f>TEXT(Restaurant_Details3[[#This Row],[OrderDate]],"dddd")</f>
        <v>Saturday</v>
      </c>
      <c r="L48" s="14" t="s">
        <v>8</v>
      </c>
    </row>
    <row r="49" spans="1:12" x14ac:dyDescent="0.25">
      <c r="A49" s="13">
        <v>4023</v>
      </c>
      <c r="B49" s="2" t="s">
        <v>80</v>
      </c>
      <c r="C49" s="3" t="s">
        <v>81</v>
      </c>
      <c r="D49" s="3" t="s">
        <v>38</v>
      </c>
      <c r="E49" s="3" t="s">
        <v>18</v>
      </c>
      <c r="F49" s="3" t="s">
        <v>2</v>
      </c>
      <c r="G49" s="6">
        <v>440</v>
      </c>
      <c r="H49" s="5">
        <v>70</v>
      </c>
      <c r="I49" s="37">
        <v>20</v>
      </c>
      <c r="J49" s="26">
        <v>46196</v>
      </c>
      <c r="K49" s="32" t="str">
        <f>TEXT(Restaurant_Details3[[#This Row],[OrderDate]],"dddd")</f>
        <v>Tuesday</v>
      </c>
      <c r="L49" s="14" t="s">
        <v>9</v>
      </c>
    </row>
    <row r="50" spans="1:12" x14ac:dyDescent="0.25">
      <c r="A50" s="13">
        <v>4054</v>
      </c>
      <c r="B50" s="2" t="s">
        <v>80</v>
      </c>
      <c r="C50" s="3" t="s">
        <v>81</v>
      </c>
      <c r="D50" s="3" t="s">
        <v>6</v>
      </c>
      <c r="E50" s="3" t="s">
        <v>16</v>
      </c>
      <c r="F50" s="3" t="s">
        <v>2</v>
      </c>
      <c r="G50" s="6">
        <v>280</v>
      </c>
      <c r="H50" s="5">
        <v>30</v>
      </c>
      <c r="I50" s="37">
        <v>15</v>
      </c>
      <c r="J50" s="26">
        <v>46137</v>
      </c>
      <c r="K50" s="32" t="str">
        <f>TEXT(Restaurant_Details3[[#This Row],[OrderDate]],"dddd")</f>
        <v>Saturday</v>
      </c>
      <c r="L50" s="14" t="s">
        <v>75</v>
      </c>
    </row>
    <row r="51" spans="1:12" x14ac:dyDescent="0.25">
      <c r="A51" s="13">
        <v>4008</v>
      </c>
      <c r="B51" s="2" t="s">
        <v>90</v>
      </c>
      <c r="C51" s="3" t="s">
        <v>91</v>
      </c>
      <c r="D51" s="3" t="s">
        <v>23</v>
      </c>
      <c r="E51" s="3" t="s">
        <v>16</v>
      </c>
      <c r="F51" s="3" t="s">
        <v>105</v>
      </c>
      <c r="G51" s="6">
        <v>180</v>
      </c>
      <c r="H51" s="5">
        <v>70</v>
      </c>
      <c r="I51" s="37">
        <v>20</v>
      </c>
      <c r="J51" s="26">
        <v>46078</v>
      </c>
      <c r="K51" s="32" t="str">
        <f>TEXT(Restaurant_Details3[[#This Row],[OrderDate]],"dddd")</f>
        <v>Wednesday</v>
      </c>
      <c r="L51" s="14" t="s">
        <v>9</v>
      </c>
    </row>
    <row r="52" spans="1:12" x14ac:dyDescent="0.25">
      <c r="A52" s="13">
        <v>4017</v>
      </c>
      <c r="B52" s="2" t="s">
        <v>88</v>
      </c>
      <c r="C52" s="3" t="s">
        <v>97</v>
      </c>
      <c r="D52" s="3" t="s">
        <v>32</v>
      </c>
      <c r="E52" s="3" t="s">
        <v>18</v>
      </c>
      <c r="F52" s="3" t="s">
        <v>105</v>
      </c>
      <c r="G52" s="6">
        <v>420</v>
      </c>
      <c r="H52" s="5">
        <v>70</v>
      </c>
      <c r="I52" s="37">
        <v>20</v>
      </c>
      <c r="J52" s="26">
        <v>46148</v>
      </c>
      <c r="K52" s="32" t="str">
        <f>TEXT(Restaurant_Details3[[#This Row],[OrderDate]],"dddd")</f>
        <v>Wednesday</v>
      </c>
      <c r="L52" s="14" t="s">
        <v>9</v>
      </c>
    </row>
    <row r="53" spans="1:12" x14ac:dyDescent="0.25">
      <c r="A53" s="13">
        <v>4018</v>
      </c>
      <c r="B53" s="2" t="s">
        <v>90</v>
      </c>
      <c r="C53" s="3" t="s">
        <v>91</v>
      </c>
      <c r="D53" s="3" t="s">
        <v>33</v>
      </c>
      <c r="E53" s="3" t="s">
        <v>19</v>
      </c>
      <c r="F53" s="3" t="s">
        <v>105</v>
      </c>
      <c r="G53" s="6">
        <v>210</v>
      </c>
      <c r="H53" s="5">
        <v>30</v>
      </c>
      <c r="I53" s="37">
        <v>15</v>
      </c>
      <c r="J53" s="26">
        <v>46156</v>
      </c>
      <c r="K53" s="32" t="str">
        <f>TEXT(Restaurant_Details3[[#This Row],[OrderDate]],"dddd")</f>
        <v>Thursday</v>
      </c>
      <c r="L53" s="14" t="s">
        <v>75</v>
      </c>
    </row>
    <row r="54" spans="1:12" x14ac:dyDescent="0.25">
      <c r="A54" s="13">
        <v>4029</v>
      </c>
      <c r="B54" s="2" t="s">
        <v>90</v>
      </c>
      <c r="C54" s="3" t="s">
        <v>91</v>
      </c>
      <c r="D54" s="3" t="s">
        <v>44</v>
      </c>
      <c r="E54" s="3" t="s">
        <v>19</v>
      </c>
      <c r="F54" s="3" t="s">
        <v>105</v>
      </c>
      <c r="G54" s="6">
        <v>450</v>
      </c>
      <c r="H54" s="5">
        <v>70</v>
      </c>
      <c r="I54" s="37">
        <v>20</v>
      </c>
      <c r="J54" s="26">
        <v>46244</v>
      </c>
      <c r="K54" s="32" t="str">
        <f>TEXT(Restaurant_Details3[[#This Row],[OrderDate]],"dddd")</f>
        <v>Monday</v>
      </c>
      <c r="L54" s="14" t="s">
        <v>9</v>
      </c>
    </row>
    <row r="55" spans="1:12" x14ac:dyDescent="0.25">
      <c r="A55" s="13">
        <v>4039</v>
      </c>
      <c r="B55" s="2" t="s">
        <v>90</v>
      </c>
      <c r="C55" s="3" t="s">
        <v>91</v>
      </c>
      <c r="D55" s="3" t="s">
        <v>54</v>
      </c>
      <c r="E55" s="3" t="s">
        <v>16</v>
      </c>
      <c r="F55" s="3" t="s">
        <v>105</v>
      </c>
      <c r="G55" s="6">
        <v>330</v>
      </c>
      <c r="H55" s="5">
        <v>30</v>
      </c>
      <c r="I55" s="37">
        <v>15</v>
      </c>
      <c r="J55" s="26">
        <v>46324</v>
      </c>
      <c r="K55" s="32" t="str">
        <f>TEXT(Restaurant_Details3[[#This Row],[OrderDate]],"dddd")</f>
        <v>Thursday</v>
      </c>
      <c r="L55" s="14" t="s">
        <v>75</v>
      </c>
    </row>
    <row r="56" spans="1:12" x14ac:dyDescent="0.25">
      <c r="A56" s="13">
        <v>4011</v>
      </c>
      <c r="B56" s="2" t="s">
        <v>96</v>
      </c>
      <c r="C56" s="3" t="s">
        <v>79</v>
      </c>
      <c r="D56" s="3" t="s">
        <v>26</v>
      </c>
      <c r="E56" s="3" t="s">
        <v>18</v>
      </c>
      <c r="F56" s="3" t="s">
        <v>108</v>
      </c>
      <c r="G56" s="6">
        <v>330</v>
      </c>
      <c r="H56" s="5">
        <v>70</v>
      </c>
      <c r="I56" s="37">
        <v>20</v>
      </c>
      <c r="J56" s="26">
        <v>46100</v>
      </c>
      <c r="K56" s="32" t="str">
        <f>TEXT(Restaurant_Details3[[#This Row],[OrderDate]],"dddd")</f>
        <v>Thursday</v>
      </c>
      <c r="L56" s="14" t="s">
        <v>9</v>
      </c>
    </row>
    <row r="57" spans="1:12" x14ac:dyDescent="0.25">
      <c r="A57" s="13">
        <v>4032</v>
      </c>
      <c r="B57" s="2" t="s">
        <v>96</v>
      </c>
      <c r="C57" s="3" t="s">
        <v>97</v>
      </c>
      <c r="D57" s="3" t="s">
        <v>47</v>
      </c>
      <c r="E57" s="3" t="s">
        <v>19</v>
      </c>
      <c r="F57" s="3" t="s">
        <v>108</v>
      </c>
      <c r="G57" s="6">
        <v>250</v>
      </c>
      <c r="H57" s="5">
        <v>70</v>
      </c>
      <c r="I57" s="37">
        <v>20</v>
      </c>
      <c r="J57" s="26">
        <v>46268</v>
      </c>
      <c r="K57" s="32" t="str">
        <f>TEXT(Restaurant_Details3[[#This Row],[OrderDate]],"dddd")</f>
        <v>Thursday</v>
      </c>
      <c r="L57" s="14" t="s">
        <v>9</v>
      </c>
    </row>
    <row r="58" spans="1:12" x14ac:dyDescent="0.25">
      <c r="A58" s="13">
        <v>4042</v>
      </c>
      <c r="B58" s="2" t="s">
        <v>96</v>
      </c>
      <c r="C58" s="3" t="s">
        <v>89</v>
      </c>
      <c r="D58" s="3" t="s">
        <v>57</v>
      </c>
      <c r="E58" s="3" t="s">
        <v>16</v>
      </c>
      <c r="F58" s="3" t="s">
        <v>108</v>
      </c>
      <c r="G58" s="6">
        <v>300</v>
      </c>
      <c r="H58" s="5">
        <v>30</v>
      </c>
      <c r="I58" s="37">
        <v>15</v>
      </c>
      <c r="J58" s="26">
        <v>46348</v>
      </c>
      <c r="K58" s="32" t="str">
        <f>TEXT(Restaurant_Details3[[#This Row],[OrderDate]],"dddd")</f>
        <v>Sunday</v>
      </c>
      <c r="L58" s="14" t="s">
        <v>75</v>
      </c>
    </row>
    <row r="59" spans="1:12" x14ac:dyDescent="0.25">
      <c r="A59" s="19">
        <v>4052</v>
      </c>
      <c r="B59" s="20" t="s">
        <v>96</v>
      </c>
      <c r="C59" s="21" t="s">
        <v>97</v>
      </c>
      <c r="D59" s="21" t="s">
        <v>67</v>
      </c>
      <c r="E59" s="21" t="s">
        <v>18</v>
      </c>
      <c r="F59" s="21" t="s">
        <v>108</v>
      </c>
      <c r="G59" s="22">
        <v>310</v>
      </c>
      <c r="H59" s="30">
        <v>50</v>
      </c>
      <c r="I59" s="37">
        <v>10</v>
      </c>
      <c r="J59" s="27">
        <v>46075</v>
      </c>
      <c r="K59" s="33" t="str">
        <f>TEXT(Restaurant_Details3[[#This Row],[OrderDate]],"dddd")</f>
        <v>Sunday</v>
      </c>
      <c r="L59" s="28"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68323-210A-4299-AE4C-5F73065272EA}">
  <dimension ref="A2:C23"/>
  <sheetViews>
    <sheetView workbookViewId="0">
      <selection activeCell="B18" sqref="B18"/>
    </sheetView>
  </sheetViews>
  <sheetFormatPr defaultRowHeight="15" x14ac:dyDescent="0.25"/>
  <cols>
    <col min="1" max="1" width="15.28515625" bestFit="1" customWidth="1"/>
    <col min="2" max="2" width="18.42578125" bestFit="1" customWidth="1"/>
    <col min="3" max="3" width="21.7109375" bestFit="1" customWidth="1"/>
  </cols>
  <sheetData>
    <row r="2" spans="1:3" x14ac:dyDescent="0.25">
      <c r="A2" s="34" t="s">
        <v>109</v>
      </c>
      <c r="B2" t="s">
        <v>110</v>
      </c>
      <c r="C2" t="s">
        <v>102</v>
      </c>
    </row>
    <row r="3" spans="1:3" x14ac:dyDescent="0.25">
      <c r="A3" s="35" t="s">
        <v>103</v>
      </c>
      <c r="B3">
        <v>9</v>
      </c>
      <c r="C3" s="31">
        <v>410</v>
      </c>
    </row>
    <row r="4" spans="1:3" x14ac:dyDescent="0.25">
      <c r="A4" s="35" t="s">
        <v>3</v>
      </c>
      <c r="B4">
        <v>9</v>
      </c>
      <c r="C4" s="31">
        <v>370</v>
      </c>
    </row>
    <row r="5" spans="1:3" x14ac:dyDescent="0.25">
      <c r="A5" s="35" t="s">
        <v>104</v>
      </c>
      <c r="B5">
        <v>7</v>
      </c>
      <c r="C5" s="31">
        <v>410</v>
      </c>
    </row>
    <row r="6" spans="1:3" x14ac:dyDescent="0.25">
      <c r="A6" s="35" t="s">
        <v>4</v>
      </c>
      <c r="B6">
        <v>3</v>
      </c>
      <c r="C6" s="31">
        <v>150</v>
      </c>
    </row>
    <row r="7" spans="1:3" x14ac:dyDescent="0.25">
      <c r="A7" s="35" t="s">
        <v>5</v>
      </c>
      <c r="B7">
        <v>7</v>
      </c>
      <c r="C7" s="31">
        <v>370</v>
      </c>
    </row>
    <row r="8" spans="1:3" x14ac:dyDescent="0.25">
      <c r="A8" s="35" t="s">
        <v>107</v>
      </c>
      <c r="B8">
        <v>5</v>
      </c>
      <c r="C8" s="31">
        <v>270</v>
      </c>
    </row>
    <row r="9" spans="1:3" x14ac:dyDescent="0.25">
      <c r="A9" s="35" t="s">
        <v>106</v>
      </c>
      <c r="B9">
        <v>5</v>
      </c>
      <c r="C9" s="31">
        <v>230</v>
      </c>
    </row>
    <row r="10" spans="1:3" x14ac:dyDescent="0.25">
      <c r="A10" s="35" t="s">
        <v>2</v>
      </c>
      <c r="B10">
        <v>4</v>
      </c>
      <c r="C10" s="31">
        <v>220</v>
      </c>
    </row>
    <row r="11" spans="1:3" x14ac:dyDescent="0.25">
      <c r="A11" s="35" t="s">
        <v>105</v>
      </c>
      <c r="B11">
        <v>5</v>
      </c>
      <c r="C11" s="31">
        <v>270</v>
      </c>
    </row>
    <row r="12" spans="1:3" x14ac:dyDescent="0.25">
      <c r="A12" s="35" t="s">
        <v>108</v>
      </c>
      <c r="B12">
        <v>4</v>
      </c>
      <c r="C12" s="31">
        <v>220</v>
      </c>
    </row>
    <row r="13" spans="1:3" x14ac:dyDescent="0.25">
      <c r="A13" s="35" t="s">
        <v>114</v>
      </c>
      <c r="C13" s="31"/>
    </row>
    <row r="14" spans="1:3" x14ac:dyDescent="0.25">
      <c r="A14" s="35" t="s">
        <v>115</v>
      </c>
      <c r="C14" s="31"/>
    </row>
    <row r="19" spans="1:3" x14ac:dyDescent="0.25">
      <c r="A19" s="35"/>
    </row>
    <row r="20" spans="1:3" x14ac:dyDescent="0.25">
      <c r="A20" s="34" t="s">
        <v>109</v>
      </c>
      <c r="B20" t="s">
        <v>110</v>
      </c>
      <c r="C20" t="s">
        <v>111</v>
      </c>
    </row>
    <row r="21" spans="1:3" x14ac:dyDescent="0.25">
      <c r="A21" s="35" t="s">
        <v>79</v>
      </c>
      <c r="B21" s="41">
        <v>7</v>
      </c>
    </row>
    <row r="22" spans="1:3" x14ac:dyDescent="0.25">
      <c r="A22" s="35" t="s">
        <v>81</v>
      </c>
      <c r="B22" s="41">
        <v>8</v>
      </c>
    </row>
    <row r="23" spans="1:3" x14ac:dyDescent="0.25">
      <c r="A23" s="35" t="s">
        <v>87</v>
      </c>
      <c r="B23" s="41">
        <v>9</v>
      </c>
    </row>
  </sheetData>
  <autoFilter ref="A20:C31" xr:uid="{A7368323-210A-4299-AE4C-5F73065272E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F698B-EF2C-458B-AC34-4D35DC65ABBE}">
  <dimension ref="A1:B2"/>
  <sheetViews>
    <sheetView workbookViewId="0">
      <selection activeCell="B5" sqref="B5"/>
    </sheetView>
  </sheetViews>
  <sheetFormatPr defaultRowHeight="15" x14ac:dyDescent="0.25"/>
  <cols>
    <col min="1" max="1" width="16.140625" bestFit="1" customWidth="1"/>
    <col min="2" max="2" width="12.7109375" bestFit="1" customWidth="1"/>
  </cols>
  <sheetData>
    <row r="1" spans="1:2" x14ac:dyDescent="0.25">
      <c r="A1" t="s">
        <v>110</v>
      </c>
      <c r="B1" s="29" t="s">
        <v>112</v>
      </c>
    </row>
    <row r="2" spans="1:2" x14ac:dyDescent="0.25">
      <c r="A2">
        <v>58</v>
      </c>
      <c r="B2">
        <f>AVERAGE(Restaurant_Details3[[#This Row],[Delivery time(mins)]])</f>
        <v>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85498-0D3C-49A7-8F8F-C4FF507BE8EA}">
  <dimension ref="A1"/>
  <sheetViews>
    <sheetView tabSelected="1" zoomScale="80" zoomScaleNormal="80" workbookViewId="0">
      <pane ySplit="1" topLeftCell="A2" activePane="bottomLeft" state="frozen"/>
      <selection pane="bottomLeft" activeCell="U1" sqref="U1"/>
    </sheetView>
  </sheetViews>
  <sheetFormatPr defaultRowHeight="15" x14ac:dyDescent="0.25"/>
  <cols>
    <col min="1" max="16384" width="9.140625" style="36"/>
  </cols>
  <sheetData>
    <row r="1" ht="75.7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1</vt:lpstr>
      <vt:lpstr>2</vt:lpstr>
      <vt:lpstr>3</vt:lpstr>
      <vt:lpstr>4</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2026-07-20T19:19:11Z</dcterms:modified>
</cp:coreProperties>
</file>